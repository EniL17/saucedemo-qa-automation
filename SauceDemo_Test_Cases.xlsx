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6F098F8-E3A9-441C-A4C7-9F3F1F93A2FF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EADME" sheetId="1" r:id="rId1"/>
    <sheet name="Test Cases" sheetId="2" r:id="rId2"/>
    <sheet name="Bug Summary" sheetId="3" r:id="rId3"/>
  </sheets>
  <definedNames>
    <definedName name="_xlnm._FilterDatabase" localSheetId="1" hidden="1">'Test Cases'!$A$2:$J$78</definedName>
    <definedName name="_xlnm.Print_Titles" localSheetId="1">'Test Cases'!$2:$2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3" l="1"/>
  <c r="C20" i="3"/>
  <c r="C19" i="3"/>
  <c r="C15" i="3"/>
  <c r="C14" i="3"/>
  <c r="C13" i="3"/>
  <c r="C12" i="3"/>
  <c r="C11" i="3"/>
  <c r="C10" i="3"/>
  <c r="C6" i="3"/>
  <c r="C5" i="3"/>
  <c r="C4" i="3"/>
</calcChain>
</file>

<file path=xl/sharedStrings.xml><?xml version="1.0" encoding="utf-8"?>
<sst xmlns="http://schemas.openxmlformats.org/spreadsheetml/2006/main" count="803" uniqueCount="388">
  <si>
    <t>SauceDemo Test Cases - Verified Findings (README)</t>
  </si>
  <si>
    <t>Candidate: Anil Biju  |  Application Under Test: https://www.saucedemo.com/</t>
  </si>
  <si>
    <t>Assignment alignment</t>
  </si>
  <si>
    <t>This sheet includes every field named : Test Objective, Preconditions, Test Steps, and Expected Result - plus the Actual Result (Finding) observed during live exploration, so Expected vs. Actual can be compared directly for every case.</t>
  </si>
  <si>
    <t>Status of this document</t>
  </si>
  <si>
    <t>All Actual Results are based on  hands-on exploration of the live SauceDemo application across all 6 seeded test-user accounts.</t>
  </si>
  <si>
    <t>ID scheme</t>
  </si>
  <si>
    <t>TC-STD = standard_user, TC-LCK = locked_out_user, TC-PRB = problem_user, TC-PFM = performance_glitch_user, TC-ERR = error_user, TC-VIS = visual_user.</t>
  </si>
  <si>
    <t>Bug Found? column</t>
  </si>
  <si>
    <t>Y = Expected and Actual Result disagree - a genuine, personally-observed defect. N = Expected and Actual Result match (working correctly), including cases where the 'expected' behaviour is itself a restriction, such as locked_out_user being correctly denied access.</t>
  </si>
  <si>
    <t>Priority</t>
  </si>
  <si>
    <t>High = core revenue/access-blocking workflows (login, checkout, cart entry points). Medium = important but non-blocking. Low = cosmetic/visual or exploratory.</t>
  </si>
  <si>
    <t>Automate? Column</t>
  </si>
  <si>
    <t>Y = recommended for the Playwright suite. N = deliberately manual - a duplicate pattern already automated once, a visual/content check better suited to human judgement, or pending further verification</t>
  </si>
  <si>
    <t>SauceDemo - Manual Test Cases (Objective / Preconditions / Steps / Expected / Actual)</t>
  </si>
  <si>
    <t>Test ID</t>
  </si>
  <si>
    <t>User Profile</t>
  </si>
  <si>
    <t>Test Objective</t>
  </si>
  <si>
    <t>Preconditions</t>
  </si>
  <si>
    <t>Test Steps</t>
  </si>
  <si>
    <t>Expected Result</t>
  </si>
  <si>
    <t>Actual Result (Finding)</t>
  </si>
  <si>
    <t>Bug Found?</t>
  </si>
  <si>
    <t>Automate?</t>
  </si>
  <si>
    <t>TC-STD-01</t>
  </si>
  <si>
    <t>standard_user</t>
  </si>
  <si>
    <t>Verify a user with valid credentials can log in successfully.</t>
  </si>
  <si>
    <t>Browser open at saucedemo.com login page</t>
  </si>
  <si>
    <t>1. Enter username 'standard_user'. 2. Enter password 'secret_sauce'. 3. Click Login.</t>
  </si>
  <si>
    <t>User is redirected to the inventory page with all products displayed.</t>
  </si>
  <si>
    <t>Redirects to the inventory page (/inventory.html); all products load correctly.</t>
  </si>
  <si>
    <t>N</t>
  </si>
  <si>
    <t>High</t>
  </si>
  <si>
    <t>Y</t>
  </si>
  <si>
    <t>TC-STD-02</t>
  </si>
  <si>
    <t>Verify login is rejected when the password is incorrect.</t>
  </si>
  <si>
    <t>1. Enter username 'standard_user'. 2. Enter an incorrect password. 3. Click Login.</t>
  </si>
  <si>
    <t>Login fails; an error message is displayed; user remains on the login page.</t>
  </si>
  <si>
    <t>Login is rejected. Error shown: "Username and password do not match any user in the service".</t>
  </si>
  <si>
    <t>TC-STD-03</t>
  </si>
  <si>
    <t>Verify login is rejected when the username field is left blank.</t>
  </si>
  <si>
    <t>1. Leave Username blank. 2. Enter password 'secret_sauce'. 3. Click Login.</t>
  </si>
  <si>
    <t>Login fails with a 'Username is required' error.</t>
  </si>
  <si>
    <t>Login is rejected. Error shown: "Username is required".</t>
  </si>
  <si>
    <t>Medium</t>
  </si>
  <si>
    <t>TC-STD-04</t>
  </si>
  <si>
    <t>Verify login is rejected when the password field is left blank.</t>
  </si>
  <si>
    <t>1. Enter username 'standard_user'. 2. Leave Password blank. 3. Click Login.</t>
  </si>
  <si>
    <t>Login fails with a 'Password is required' error.</t>
  </si>
  <si>
    <t>Login is rejected. Error shown: "Password is required".</t>
  </si>
  <si>
    <t>TC-STD-05</t>
  </si>
  <si>
    <t>Verify all product images, titles and prices display correctly on the inventory page.</t>
  </si>
  <si>
    <t>Logged in as standard_user, on the inventory page</t>
  </si>
  <si>
    <t>1. Inspect all 6 product images, titles, and prices on the inventory page.</t>
  </si>
  <si>
    <t>Every product shows a correct image matching its own title/description; no broken layout.</t>
  </si>
  <si>
    <t>Images match their product text; no broken layout.</t>
  </si>
  <si>
    <t>TC-STD-06</t>
  </si>
  <si>
    <t>Verify clicking a product title opens that product's detail page.</t>
  </si>
  <si>
    <t>1. Click the 'Sauce Labs Backpack' title.</t>
  </si>
  <si>
    <t>Detail page opens showing an enlarged image, description, and price for that product.</t>
  </si>
  <si>
    <t>Opens the item detail page with a large image, description, and price.</t>
  </si>
  <si>
    <t>TC-STD-07</t>
  </si>
  <si>
    <t>Verify products can be sorted alphabetically ascending.</t>
  </si>
  <si>
    <t>1. Open the Sort dropdown. 2. Select 'Name (A to Z)'.</t>
  </si>
  <si>
    <t>Products reorder alphabetically A to Z.</t>
  </si>
  <si>
    <t>Items sort alphabetically ascending - 'Sauce Labs Backpack' first, 'Test.allTheThings() T-Shirt (Red)' last.</t>
  </si>
  <si>
    <t>TC-STD-08</t>
  </si>
  <si>
    <t>Verify products can be sorted alphabetically descending.</t>
  </si>
  <si>
    <t>1. Open the Sort dropdown. 2. Select 'Name (Z to A)'.</t>
  </si>
  <si>
    <t>Products reorder alphabetically Z to A.</t>
  </si>
  <si>
    <t>Items sort alphabetically descending - 'Test.allTheThings() T-Shirt (Red)' first.</t>
  </si>
  <si>
    <t>TC-STD-09</t>
  </si>
  <si>
    <t>Verify products can be sorted by ascending price.</t>
  </si>
  <si>
    <t>1. Open the Sort dropdown. 2. Select 'Price (low to high)'.</t>
  </si>
  <si>
    <t>Products reorder from lowest to highest price.</t>
  </si>
  <si>
    <t>Items sort ascending by price ($7.99 first, $49.99 last).</t>
  </si>
  <si>
    <t>TC-STD-10</t>
  </si>
  <si>
    <t>Verify products can be sorted by descending price.</t>
  </si>
  <si>
    <t>1. Open the Sort dropdown. 2. Select 'Price (high to low)'.</t>
  </si>
  <si>
    <t>Products reorder from highest to lowest price.</t>
  </si>
  <si>
    <t>Items sort descending by price ($49.99 first, $7.99 last).</t>
  </si>
  <si>
    <t>TC-STD-11</t>
  </si>
  <si>
    <t>Verify a product can be added to the cart from the catalog view.</t>
  </si>
  <si>
    <t>1. Click 'Add to cart' on 'Sauce Labs Backpack'.</t>
  </si>
  <si>
    <t>Button changes to 'Remove'; cart badge increments to 1.</t>
  </si>
  <si>
    <t>Button changes to 'Remove'. Cart badge shows 1.</t>
  </si>
  <si>
    <t>TC-STD-12</t>
  </si>
  <si>
    <t>Verify a product can be removed from the cart from the catalog view.</t>
  </si>
  <si>
    <t>standard_user; item already added to cart</t>
  </si>
  <si>
    <t>1. Click 'Remove' on 'Sauce Labs Backpack'.</t>
  </si>
  <si>
    <t>Button reverts to 'Add to cart'; cart badge decrements/clears.</t>
  </si>
  <si>
    <t>Button reverts to 'Add to cart'. Cart badge clears.</t>
  </si>
  <si>
    <t>TC-STD-13</t>
  </si>
  <si>
    <t>Verify an item can be removed from the cart via the cart page.</t>
  </si>
  <si>
    <t>1. Click 'Add to cart' on 'Sauce Labs Backpack'. 2. Click the cart icon. 3. Click 'Remove' next to the item on the cart page.</t>
  </si>
  <si>
    <t>Item is removed from the cart list; cart badge updates accordingly.</t>
  </si>
  <si>
    <t>Item disappears from the cart list; cart badge updates/clears accordingly.</t>
  </si>
  <si>
    <t>TC-STD-14</t>
  </si>
  <si>
    <t>Verify a user can complete a purchase end-to-end with valid information.</t>
  </si>
  <si>
    <t>standard_user; item in cart</t>
  </si>
  <si>
    <t>1. Go to Cart, click 'Checkout'. 2. Enter First Name, Last Name, Zip. 3. Click 'Continue', then 'Finish'.</t>
  </si>
  <si>
    <t>Order confirmation page displays 'Thank you for your order!'.</t>
  </si>
  <si>
    <t>Redirects to the order-complete page with the message "Thank you for your order!".</t>
  </si>
  <si>
    <t>TC-STD-15</t>
  </si>
  <si>
    <t>Verify a PDF receipt can be generated after completing checkout.</t>
  </si>
  <si>
    <t>1. Complete checkout through to the confirmation page. 2. Click the 'Generate PDF Order' button on the confirmation page.</t>
  </si>
  <si>
    <t>Clicking the PDF button on the confirmation page downloads a receipt file.</t>
  </si>
  <si>
    <t>A PDF of the order receipt downloads.</t>
  </si>
  <si>
    <t>TC-STD-16</t>
  </si>
  <si>
    <t>Verify logout ends the session and blocks back-navigation to protected pages.</t>
  </si>
  <si>
    <t>Logged in as standard_user</t>
  </si>
  <si>
    <t>1. Open the side (hamburger) menu. 2. Click 'Logout'.</t>
  </si>
  <si>
    <t>User returns to the login page; browser Back does not restore access to the inventory page.</t>
  </si>
  <si>
    <t>Redirects to the login page. Pressing the browser Back button does not restore access to the inventory page.</t>
  </si>
  <si>
    <t>TC-STD-17</t>
  </si>
  <si>
    <t>Verify the About link navigates correctly.</t>
  </si>
  <si>
    <t>1. Open the side menu. 2. Click 'About'.</t>
  </si>
  <si>
    <t>The About page loads.</t>
  </si>
  <si>
    <t>Redirects to the About page.</t>
  </si>
  <si>
    <t>Low</t>
  </si>
  <si>
    <t>TC-STD-18</t>
  </si>
  <si>
    <t>Verify 'Reset App State' correctly resets all cart-related UI elements.</t>
  </si>
  <si>
    <t>standard_user; at least one item added to cart</t>
  </si>
  <si>
    <t>1. Open the side menu. 2. Click 'Reset App State' (with an item already in the cart).</t>
  </si>
  <si>
    <t>Cart badge clears to 0 AND every product's button reverts from 'Remove' to 'Add to cart', consistently.</t>
  </si>
  <si>
    <t>Cart badge count resets to 0 (numbering disappears), but the 'Remove' button on the product still shows 'Remove' instead of reverting to 'Add to cart' - the product button does not update to match the reset cart state.</t>
  </si>
  <si>
    <t>TC-STD-19</t>
  </si>
  <si>
    <t>Verify the cart is genuinely empty after navigating away and back following a reset.</t>
  </si>
  <si>
    <t>standard_user; at least one item added to cart, 'Reset App State' already clicked</t>
  </si>
  <si>
    <t>1. After Reset App State, click 'Continue Shopping'. 2. Return to the cart page.</t>
  </si>
  <si>
    <t>Cart page shows no items.</t>
  </si>
  <si>
    <t>Cart is genuinely empty on the cart page.</t>
  </si>
  <si>
    <t>TC-STD-20</t>
  </si>
  <si>
    <t>Verify the 'All Items' side-menu link returns to the full inventory list.</t>
  </si>
  <si>
    <t>standard_user; on the cart page</t>
  </si>
  <si>
    <t>1. Go to the cart page. 2. Open the side menu. 3. Click 'All Items'.</t>
  </si>
  <si>
    <t>Inventory page displays showing all products.</t>
  </si>
  <si>
    <t>Navigates back to the inventory page showing all products.</t>
  </si>
  <si>
    <t>TC-STD-21</t>
  </si>
  <si>
    <t>Verify the checkout information fields (First Name, Last Name, Postal Code) validate input format, not just presence.</t>
  </si>
  <si>
    <t>standard_user; on the checkout information page</t>
  </si>
  <si>
    <t>1. Enter a value containing numbers and special characters into First Name (e.g. 'an1l!@#'). 2. Enter similarly invalid text into Last Name. 3. Enter a postal code with letters and special characters (e.g. '4444444-.@'). 4. Click 'Continue'. 5. Proceed to 'Finish'.</t>
  </si>
  <si>
    <t>Each field either rejects invalid/malformed input with a validation error, or the absence of format validation is an explicitly accepted, documented behaviour for this application.</t>
  </si>
  <si>
    <t>None of the three fields apply any format validation - all accept numbers, symbols, and garbage text equally, and checkout completes successfully regardless of input in any of them. Only presence (non-blank) is enforced, not content.</t>
  </si>
  <si>
    <t>TC-STD-22</t>
  </si>
  <si>
    <t>Verify each checkout information field (First Name, Last Name, Postal Code) is individually required to proceed.</t>
  </si>
  <si>
    <t>1. Leave First Name blank, fill Last Name and Postal Code, click 'Continue'. 2. Repeat leaving only Last Name blank. 3. Repeat leaving only Postal Code blank.</t>
  </si>
  <si>
    <t>Each scenario is blocked with a field-specific validation error ('First Name is required', 'Last Name is required', 'Postal Code is required' respectively); checkout does not proceed to the overview page in any case.</t>
  </si>
  <si>
    <t>Confirmed: each of the three fields independently blocks checkout with its own specific required-field error when left blank.</t>
  </si>
  <si>
    <t>TC-LCK-01</t>
  </si>
  <si>
    <t>locked_out_user</t>
  </si>
  <si>
    <t>Verify a locked-out account cannot log in.</t>
  </si>
  <si>
    <t>1. Enter username 'locked_out_user'. 2. Enter password 'secret_sauce'. 3. Click Login.</t>
  </si>
  <si>
    <t>Login is rejected with a message indicating the account has been locked out.</t>
  </si>
  <si>
    <t>Access denied. Banner reads: "Sorry, this user has been locked out."</t>
  </si>
  <si>
    <t>TC-PRB-01</t>
  </si>
  <si>
    <t>problem_user</t>
  </si>
  <si>
    <t>Verify each product displays its own correct image.</t>
  </si>
  <si>
    <t>Logged in as problem_user, on the inventory page</t>
  </si>
  <si>
    <t>1. Check all 6 product listing images.</t>
  </si>
  <si>
    <t>Each of the 6 products shows its own distinct, correct image.</t>
  </si>
  <si>
    <t>All 6 products display the same incorrect image (a dog) instead of their own product photos.</t>
  </si>
  <si>
    <t>TC-PRB-02</t>
  </si>
  <si>
    <t>Verify clicking each product opens that product's own correct detail page.</t>
  </si>
  <si>
    <t>1. Click each product title one by one and observe the resulting detail page.</t>
  </si>
  <si>
    <t>Each product link opens that specific product's detail page, with matching name and image.</t>
  </si>
  <si>
    <t>Clicking certain items redirects to a 404 or the wrong page. Additionally, product detail pages do not match the clicked item's name and show an incorrect image (not the dog placeholder - a different mismatch).</t>
  </si>
  <si>
    <t>TC-PRB-03</t>
  </si>
  <si>
    <t>Verify 'Add to cart' works for every product from the catalog view.</t>
  </si>
  <si>
    <t>1. Click 'Add to cart' on each of the 6 products in turn.</t>
  </si>
  <si>
    <t>Every 'Add to cart' button responds and adds its item to the cart.</t>
  </si>
  <si>
    <t>Some product 'Add to cart' buttons do not respond when clicked.</t>
  </si>
  <si>
    <t>TC-PRB-04</t>
  </si>
  <si>
    <t>Verify 'Remove' works for every product from the catalog view.</t>
  </si>
  <si>
    <t>1. Add products to the cart. 2. Click 'Remove' on each product from the catalog view.</t>
  </si>
  <si>
    <t>Every 'Remove' button removes its item from the cart.</t>
  </si>
  <si>
    <t>The 'Remove' button does not work from the catalog view - items remain in the cart.</t>
  </si>
  <si>
    <t>TC-PRB-05</t>
  </si>
  <si>
    <t>Verify 'Remove' works for every product from the cart page.</t>
  </si>
  <si>
    <t>1. Add products to the cart. 2. Go to the cart page. 3. Click 'Remove' on each item from the cart page.</t>
  </si>
  <si>
    <t>Every item is removed correctly when using the cart page's Remove button.</t>
  </si>
  <si>
    <t>Items are removed normally from the cart page.</t>
  </si>
  <si>
    <t>TC-PRB-06</t>
  </si>
  <si>
    <t>Verify the sort dropdown reorders the product list.</t>
  </si>
  <si>
    <t>1. Open the Sort dropdown. 2. Select any sort option.</t>
  </si>
  <si>
    <t>Selecting a sort option reorders the product list accordingly.</t>
  </si>
  <si>
    <t>The sort dropdown does not change the item order.</t>
  </si>
  <si>
    <t>TC-PRB-07</t>
  </si>
  <si>
    <t>Verify text can be entered in the First Name field.</t>
  </si>
  <si>
    <t>problem_user; on the checkout information page</t>
  </si>
  <si>
    <t>1. Type text into the First Name field.</t>
  </si>
  <si>
    <t>Typed text appears correctly in the First Name field.</t>
  </si>
  <si>
    <t>Text enters normally; no issue observed.</t>
  </si>
  <si>
    <t>TC-PRB-08</t>
  </si>
  <si>
    <t>Verify text can be entered in the Last Name field.</t>
  </si>
  <si>
    <t>1. Type text into the Last Name field.</t>
  </si>
  <si>
    <t>Typed text appears correctly in the Last Name field only.</t>
  </si>
  <si>
    <t>Whatever is typed into the Last Name field is instead written into/overwrites the First Name field.</t>
  </si>
  <si>
    <t>TC-PRB-09</t>
  </si>
  <si>
    <t>Verify text can be entered in the Postal Code field.</t>
  </si>
  <si>
    <t>1. Enter text into the Postal Code field.</t>
  </si>
  <si>
    <t>Typed text appears correctly in the Postal Code field.</t>
  </si>
  <si>
    <t>Field accepts input with no issue observed.</t>
  </si>
  <si>
    <t>TC-PRB-10</t>
  </si>
  <si>
    <t>Verify the checkout form can be submitted with valid data.</t>
  </si>
  <si>
    <t>1. Complete the checkout form as best as possible given the Last Name field defect. 2. Click 'Continue'.</t>
  </si>
  <si>
    <t>Clicking 'Continue' proceeds to the order overview page.</t>
  </si>
  <si>
    <t>Form submission/validation fails, as a consequence of the Last Name field defect (TC-PRB-08).</t>
  </si>
  <si>
    <t>TC-PRB-11</t>
  </si>
  <si>
    <t>Verify logout ends the session and blocks back-navigation.</t>
  </si>
  <si>
    <t>Logged in as problem_user</t>
  </si>
  <si>
    <t>1. Open the side menu. 2. Click 'Logout'.</t>
  </si>
  <si>
    <t>User returns to the login page; browser Back does not restore access.</t>
  </si>
  <si>
    <t>Redirects to the login page. Browser Back button does not restore access.</t>
  </si>
  <si>
    <t>TC-PRB-12</t>
  </si>
  <si>
    <t>Redirects to a 404 error page instead of the About page.</t>
  </si>
  <si>
    <t>TC-PRB-13</t>
  </si>
  <si>
    <t>problem_user; at least one item added to cart</t>
  </si>
  <si>
    <t>1. Open the side menu. 2. Click 'Reset App State'.</t>
  </si>
  <si>
    <t>Cart badge clears to 0 AND the product's button reverts from 'Remove' to 'Add to cart'.</t>
  </si>
  <si>
    <t>Same inconsistency as TC-STD-18: cart badge resets to 0, but the product's 'Remove' button does not revert to 'Add to cart'.</t>
  </si>
  <si>
    <t>TC-PRB-14</t>
  </si>
  <si>
    <t>problem_user; Reset App State already clicked</t>
  </si>
  <si>
    <t>TC-PRB-15</t>
  </si>
  <si>
    <t>problem_user; on the cart page</t>
  </si>
  <si>
    <t>TC-PFM-01</t>
  </si>
  <si>
    <t>performance_glitch_user</t>
  </si>
  <si>
    <t>Verify login completes within a reasonable time.</t>
  </si>
  <si>
    <t>1. Enter username 'performance_glitch_user'. 2. Enter password 'secret_sauce'. 3. Click Login.</t>
  </si>
  <si>
    <t>Login redirects to the inventory page promptly, with no significant artificial delay.</t>
  </si>
  <si>
    <t>Page freezes and takes approximately 5 seconds before redirecting to the inventory page.</t>
  </si>
  <si>
    <t>TC-PFM-02</t>
  </si>
  <si>
    <t>Verify the inventory page renders promptly on refresh.</t>
  </si>
  <si>
    <t>Logged in as performance_glitch_user, on the inventory page</t>
  </si>
  <si>
    <t>1. Refresh the inventory page.</t>
  </si>
  <si>
    <t>Page renders fully without a noticeable loading delay.</t>
  </si>
  <si>
    <t>The catalog shows a loading delay before fully rendering.</t>
  </si>
  <si>
    <t>TC-PFM-03</t>
  </si>
  <si>
    <t>Verify sorting updates the product list promptly.</t>
  </si>
  <si>
    <t>1. Change the sort order to 'Price (high to low)'.</t>
  </si>
  <si>
    <t>The list reorders immediately after a sort option is selected.</t>
  </si>
  <si>
    <t>The item reordering hangs briefly before updating.</t>
  </si>
  <si>
    <t>TC-PFM-04</t>
  </si>
  <si>
    <t>Verify checkout completes successfully for this account.</t>
  </si>
  <si>
    <t>performance_glitch_user;add items to cart and proceed to  the checkout overview page</t>
  </si>
  <si>
    <t>1. Click 'Finish' on the final checkout overview.</t>
  </si>
  <si>
    <t>Order confirmation page displays correctly after clicking Finish.</t>
  </si>
  <si>
    <t>Order confirmation message displays successfully - no functional failure, only the general latency already noted for this user.</t>
  </si>
  <si>
    <t>TC-PFM-05</t>
  </si>
  <si>
    <t>Verify a PDF receipt can be generated after checkout for this account.</t>
  </si>
  <si>
    <t>performance_glitch_user; on the order confirmation page</t>
  </si>
  <si>
    <t>1. Click 'Finish'. 2. Click 'Generate PDF Order' on the confirmation page.</t>
  </si>
  <si>
    <t>Clicking the PDF button downloads a receipt file.</t>
  </si>
  <si>
    <t>Confirmation message displays successfully; PDF feature accessible for this user as well.</t>
  </si>
  <si>
    <t>TC-PFM-06</t>
  </si>
  <si>
    <t>Logged in as performance_glitch_user</t>
  </si>
  <si>
    <t>TC-PFM-07</t>
  </si>
  <si>
    <t>The About page loads without excessive delay.</t>
  </si>
  <si>
    <t>Redirects to the About page, with the same latency pattern as this account's other actions.</t>
  </si>
  <si>
    <t>TC-PFM-08</t>
  </si>
  <si>
    <t>performance_glitch_user; at least one item in cart</t>
  </si>
  <si>
    <t>Same inconsistency as TC-STD-18: cart badge resets, but the product's 'Remove' button does not revert to 'Add to cart'.</t>
  </si>
  <si>
    <t>TC-PFM-09</t>
  </si>
  <si>
    <t>performance_glitch_user; Reset App State clicked</t>
  </si>
  <si>
    <t>TC-PFM-10</t>
  </si>
  <si>
    <t>performance_glitch_user; on the cart page</t>
  </si>
  <si>
    <t>TC-PFM-11</t>
  </si>
  <si>
    <t>Verify all products display correct images, names, and prices on the inventory page.</t>
  </si>
  <si>
    <t>1. Inspect all 6 product images, titles, and prices.</t>
  </si>
  <si>
    <t>All products display correct, matching images/titles/prices, same as standard_user.</t>
  </si>
  <si>
    <t>Working correctly, with the account's known latency but no content defect.</t>
  </si>
  <si>
    <t>TC-PFM-12</t>
  </si>
  <si>
    <t>Verify a product can be added to the cart for this account.</t>
  </si>
  <si>
    <t>1. Click 'Add to cart' on any product and observe the cart badge.</t>
  </si>
  <si>
    <t>'Add to cart' works and increments the cart badge, with only the account's known latency - no functional defect.</t>
  </si>
  <si>
    <t>Working correctly, with lag.</t>
  </si>
  <si>
    <t>TC-ERR-01</t>
  </si>
  <si>
    <t>error_user</t>
  </si>
  <si>
    <t>Verify login speed is unaffected for this account.</t>
  </si>
  <si>
    <t>1. Enter username 'error_user'. 2. Enter password 'secret_sauce'. 3. Click Login.</t>
  </si>
  <si>
    <t>Login completes promptly, comparable to standard_user, with no added delay.</t>
  </si>
  <si>
    <t>Logs in without the delay</t>
  </si>
  <si>
    <t>TC-ERR-02</t>
  </si>
  <si>
    <t>Verify sorting works without errors for this account.</t>
  </si>
  <si>
    <t>Logged in as error_user, on the inventory page</t>
  </si>
  <si>
    <t>1. Open the Sort dropdown. 2. Select a different sort option.</t>
  </si>
  <si>
    <t>The list reorders correctly with no crash and no console error.</t>
  </si>
  <si>
    <t>Page behaves incorrectly on sort - fails by saying "sorting is broken!..."</t>
  </si>
  <si>
    <t>TC-ERR-03</t>
  </si>
  <si>
    <t>Verify 'Add to cart' works for every product for this account.</t>
  </si>
  <si>
    <t>Every product's 'Add to cart' button responds and increments the cart badge.</t>
  </si>
  <si>
    <t>Some specific items fail to change state or increment the cart badge.</t>
  </si>
  <si>
    <t>TC-ERR-04</t>
  </si>
  <si>
    <t>1. Add all 6 products to the cart. 2. Click 'Remove' on each from the catalog view.</t>
  </si>
  <si>
    <t>TC-ERR-05</t>
  </si>
  <si>
    <t>1. Add all 6 products to the cart. 2. Go to the cart page. 3. Click 'Remove' on each item from the cart page.</t>
  </si>
  <si>
    <t>Every item is removed correctly using the cart page's Remove button.</t>
  </si>
  <si>
    <t>TC-ERR-06</t>
  </si>
  <si>
    <t>Verify all three checkout fields accept text input.</t>
  </si>
  <si>
    <t>error_user; on the checkout information page</t>
  </si>
  <si>
    <t>1. Enter First Name. 2. Enter Last Name. 3. Enter Postal Code.</t>
  </si>
  <si>
    <t>Text can be typed into First Name, Last Name, and Postal Code fields.</t>
  </si>
  <si>
    <t>Unable to type into the Last Name field.</t>
  </si>
  <si>
    <t>TC-ERR-07</t>
  </si>
  <si>
    <t>1. Enter First Name, Last Name, Postal Code. 2. Click 'Continue'.</t>
  </si>
  <si>
    <t>Checkout proceeds through to the overview page successfully.</t>
  </si>
  <si>
    <t>TC-ERR-08</t>
  </si>
  <si>
    <t>Verify an order can be finalized from the checkout overview.</t>
  </si>
  <si>
    <t>error_user; on the checkout overview page</t>
  </si>
  <si>
    <t>1. Click 'Finish'.</t>
  </si>
  <si>
    <t>Clicking 'Finish' completes the order and displays the confirmation page.</t>
  </si>
  <si>
    <t>The order does not finalize; the 'Finish' button does not work.</t>
  </si>
  <si>
    <t>TC-ERR-09</t>
  </si>
  <si>
    <t>Logged in as error_user</t>
  </si>
  <si>
    <t>TC-ERR-10</t>
  </si>
  <si>
    <t>Redirects to the About page normally.</t>
  </si>
  <si>
    <t>TC-ERR-11</t>
  </si>
  <si>
    <t>error_user; at least one item added to cart</t>
  </si>
  <si>
    <t>TC-ERR-12</t>
  </si>
  <si>
    <t>error_user; Reset App State clicked</t>
  </si>
  <si>
    <t>TC-ERR-13</t>
  </si>
  <si>
    <t>error_user; on the cart page</t>
  </si>
  <si>
    <t>TC-VIS-01</t>
  </si>
  <si>
    <t>visual_user</t>
  </si>
  <si>
    <t>Verify the cart badge displays correctly positioned near the cart icon.</t>
  </si>
  <si>
    <t>visual_user; item added to cart</t>
  </si>
  <si>
    <t>1. Add an item to the cart. 2. Inspect the cart badge layout.</t>
  </si>
  <si>
    <t>Badge sits correctly aligned with the cart icon, without overlapping other elements.</t>
  </si>
  <si>
    <t>The cart badge overlaps nearby menu elements, appears clipped out of place.</t>
  </si>
  <si>
    <t>TC-VIS-02</t>
  </si>
  <si>
    <t>Verify the side menu displays with correct visual alignment.</t>
  </si>
  <si>
    <t>Logged in as visual_user, on the inventory page</t>
  </si>
  <si>
    <t>1. Open the hamburger menu sidebar.</t>
  </si>
  <si>
    <t>Sidebar and its contents are aligned normally, not tilted.</t>
  </si>
  <si>
    <t>The sidebar and its contents appear visually tilted/misaligned.</t>
  </si>
  <si>
    <t>TC-VIS-03</t>
  </si>
  <si>
    <t>Verify the first product's image is consistent and wrong across the catalog, sort views, and its detail page.</t>
  </si>
  <si>
    <t>1. Check the first product's image under each sort order. 2. Click into the product detail page and check its image there too.</t>
  </si>
  <si>
    <t>The same correct image displays consistently in every view.</t>
  </si>
  <si>
    <t>Different/inconsistent product images appear between views.(always a dog image for the first product in the inventory page and correct image at detail page)</t>
  </si>
  <si>
    <t>TC-VIS-04</t>
  </si>
  <si>
    <t>Verify the checkout button is positioned correctly on the checkout page.</t>
  </si>
  <si>
    <t>visual_user; on the checkout page</t>
  </si>
  <si>
    <t>1. Go to the checkout page. 2. Observe the position of the checkout button.</t>
  </si>
  <si>
    <t>Button appears in its expected standard position.</t>
  </si>
  <si>
    <t>The button is positioned at the top-left, visually misaligned from its expected location.</t>
  </si>
  <si>
    <t>TC-VIS-05</t>
  </si>
  <si>
    <t>Logged in as visual_user</t>
  </si>
  <si>
    <t>TC-VIS-06</t>
  </si>
  <si>
    <t>Verify the About link navigates correctly without unexpected delay.</t>
  </si>
  <si>
    <t xml:space="preserve">The About page loads normally; </t>
  </si>
  <si>
    <t>TC-VIS-07</t>
  </si>
  <si>
    <t>visual_user; at least one item added to cart</t>
  </si>
  <si>
    <t>TC-VIS-08</t>
  </si>
  <si>
    <t>visual_user; Reset App State clicked</t>
  </si>
  <si>
    <t>TC-VIS-09</t>
  </si>
  <si>
    <t>visual_user; on the cart page</t>
  </si>
  <si>
    <t>TC-VIS-10</t>
  </si>
  <si>
    <t>Verify sorting reorders products correctly for each sort option.</t>
  </si>
  <si>
    <t>1. Apply each sort option in turn: Name (A to Z), Name (Z to A), Price (low to high), Price (high to low). 2. Observe the resulting product order after each.</t>
  </si>
  <si>
    <t>Products reorder correctly according to the selected sort option, matching standard_user behaviour.</t>
  </si>
  <si>
    <t>Sorting executes (the list order visibly changes) but the resulting order is incorrect for every sort option tested.</t>
  </si>
  <si>
    <t>TC-VIS-11</t>
  </si>
  <si>
    <t>Verify product prices displayed on the inventory page are correct and consistent.</t>
  </si>
  <si>
    <t>1. Note the price of each product on the inventory page. 2. Refresh the page and re-check prices. 3. Apply different sort options and re-check prices after each.</t>
  </si>
  <si>
    <t>Each product displays its correct, fixed price consistently across page refreshes and sort changes, matching standard_user.</t>
  </si>
  <si>
    <t>Prices displayed on the inventory page are incorrect and change randomly for every product on each page refresh and each sort action.</t>
  </si>
  <si>
    <t>TC-VIS-12</t>
  </si>
  <si>
    <t>TC-VIS-13</t>
  </si>
  <si>
    <t>Verify products can be added to and removed from the cart correctly for this account.</t>
  </si>
  <si>
    <t>1. Click 'Add to cart' on a product. 2. Observe the cart badge and button state. 3. Click 'Remove' on the same product. 4. Observe the cart badge and button state.</t>
  </si>
  <si>
    <t>'Add to cart' increments the badge and changes the button to 'Remove'; 'Remove' decrements the badge and reverts the button to 'Add to cart'.</t>
  </si>
  <si>
    <t>Working fine - add and remove function correctly.</t>
  </si>
  <si>
    <t>Confirmed Defects - Summary</t>
  </si>
  <si>
    <t>Total test cases</t>
  </si>
  <si>
    <t>Confirmed bugs found (Expected &lt;&gt; Actual)</t>
  </si>
  <si>
    <t>No bug (Expected = Actual)</t>
  </si>
  <si>
    <t>Confirmed Bugs by User Profile</t>
  </si>
  <si>
    <t>User</t>
  </si>
  <si>
    <t>Bugs Found</t>
  </si>
  <si>
    <t>Confirmed Bugs by Priority</t>
  </si>
  <si>
    <t xml:space="preserve">N </t>
  </si>
  <si>
    <t xml:space="preserve">Y </t>
  </si>
  <si>
    <t>Verify the same product shows a consistent price on the inventory page and its own detail page.</t>
  </si>
  <si>
    <t>1. Note the price of the first product on the inventory page. 2. Click into that product's detail page. 3. Note the price shown there.</t>
  </si>
  <si>
    <t>The same product shows the identical price on both the inventory page and its detail page.</t>
  </si>
  <si>
    <t>The price shown on the inventory page (randomized/incorrect) does not match the price shown on the product's own detail page — the same product disagrees with itself depending on which view is used.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</si>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</sst>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5"/>
      <color rgb="FF1A4D7C"/>
      <name val="Arial"/>
      <charset val="1"/>
    </font>
    <font>
      <sz val="10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A4D7C"/>
      <name val="Arial"/>
      <charset val="1"/>
    </font>
    <font>
      <b/>
      <sz val="9.5"/>
      <color rgb="FFFFFFFF"/>
      <name val="Arial"/>
      <charset val="1"/>
    </font>
    <font>
      <sz val="8.3000000000000007"/>
      <name val="Arial"/>
      <charset val="1"/>
    </font>
    <font>
      <b/>
      <sz val="8.3000000000000007"/>
      <name val="Arial"/>
      <charset val="1"/>
    </font>
    <font>
      <b/>
      <sz val="13"/>
      <color rgb="FF1A4D7C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b/>
      <sz val="11"/>
      <color rgb="FF1A4D7C"/>
      <name val="Arial"/>
      <charset val="1"/>
    </font>
    <font>
      <i/>
      <sz val="9.5"/>
      <color rgb="FF555555"/>
      <name val="Arial"/>
      <charset val="1"/>
    </font>
    <font>
      <sz val="8.300000000000000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4D7C"/>
        <bgColor rgb="FF333399"/>
      </patternFill>
    </fill>
    <fill>
      <patternFill patternType="solid">
        <fgColor rgb="FFFFFFFF"/>
        <bgColor rgb="FFF2F6FA"/>
      </patternFill>
    </fill>
    <fill>
      <patternFill patternType="solid">
        <fgColor rgb="FFE9F7EF"/>
        <bgColor rgb="FFF2F6FA"/>
      </patternFill>
    </fill>
    <fill>
      <patternFill patternType="solid">
        <fgColor rgb="FFF2F6FA"/>
        <bgColor rgb="FFF0F0F0"/>
      </patternFill>
    </fill>
    <fill>
      <patternFill patternType="solid">
        <fgColor rgb="FFFDE8E8"/>
        <bgColor rgb="FFF0F0F0"/>
      </patternFill>
    </fill>
    <fill>
      <patternFill patternType="solid">
        <fgColor rgb="FFF0F0F0"/>
        <bgColor rgb="FFF2F6FA"/>
      </patternFill>
    </fill>
    <fill>
      <patternFill patternType="solid">
        <fgColor rgb="FFFFF6E0"/>
        <bgColor rgb="FFF0F0F0"/>
      </patternFill>
    </fill>
    <fill>
      <patternFill patternType="solid">
        <fgColor rgb="FFE8EEFB"/>
        <b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1" xfId="0" applyFont="1" applyBorder="1" applyAlignment="1">
      <alignment horizontal="center" vertical="top" wrapText="1"/>
    </xf>
    <xf numFmtId="0" fontId="14" fillId="5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5" fillId="0" borderId="0" xfId="0" applyFont="1"/>
    <xf numFmtId="0" fontId="1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E0"/>
      <rgbColor rgb="FFE9F7EF"/>
      <rgbColor rgb="FF660066"/>
      <rgbColor rgb="FFFF8080"/>
      <rgbColor rgb="FF0066CC"/>
      <rgbColor rgb="FFF2F6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B"/>
      <rgbColor rgb="FFF0F0F0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D7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showGridLines="0" zoomScaleNormal="100" workbookViewId="0">
      <selection activeCell="B10" sqref="B10"/>
    </sheetView>
  </sheetViews>
  <sheetFormatPr defaultColWidth="8.6328125" defaultRowHeight="14.5" x14ac:dyDescent="0.35"/>
  <cols>
    <col min="1" max="1" width="3" customWidth="1"/>
    <col min="2" max="2" width="26" customWidth="1"/>
    <col min="3" max="3" width="95" customWidth="1"/>
  </cols>
  <sheetData>
    <row r="2" spans="2:3" ht="18.75" customHeight="1" x14ac:dyDescent="0.4">
      <c r="B2" s="1" t="s">
        <v>0</v>
      </c>
    </row>
    <row r="3" spans="2:3" ht="14.25" customHeight="1" x14ac:dyDescent="0.35">
      <c r="B3" s="2" t="s">
        <v>1</v>
      </c>
    </row>
    <row r="5" spans="2:3" ht="54.75" customHeight="1" x14ac:dyDescent="0.35">
      <c r="B5" s="3" t="s">
        <v>2</v>
      </c>
      <c r="C5" s="4" t="s">
        <v>3</v>
      </c>
    </row>
    <row r="6" spans="2:3" ht="54.75" customHeight="1" x14ac:dyDescent="0.35">
      <c r="B6" s="3" t="s">
        <v>4</v>
      </c>
      <c r="C6" s="4" t="s">
        <v>5</v>
      </c>
    </row>
    <row r="7" spans="2:3" ht="54.75" customHeight="1" x14ac:dyDescent="0.35">
      <c r="B7" s="3" t="s">
        <v>6</v>
      </c>
      <c r="C7" s="4" t="s">
        <v>7</v>
      </c>
    </row>
    <row r="8" spans="2:3" ht="54.75" customHeight="1" x14ac:dyDescent="0.35">
      <c r="B8" s="3" t="s">
        <v>8</v>
      </c>
      <c r="C8" s="4" t="s">
        <v>9</v>
      </c>
    </row>
    <row r="9" spans="2:3" ht="54.75" customHeight="1" x14ac:dyDescent="0.35">
      <c r="B9" s="3" t="s">
        <v>10</v>
      </c>
      <c r="C9" s="4" t="s">
        <v>11</v>
      </c>
    </row>
    <row r="10" spans="2:3" ht="54.75" customHeight="1" x14ac:dyDescent="0.35">
      <c r="B10" s="3" t="s">
        <v>12</v>
      </c>
      <c r="C10" s="4" t="s">
        <v>13</v>
      </c>
    </row>
    <row r="11" spans="2:3" ht="54.75" customHeight="1" x14ac:dyDescent="0.35">
      <c r="B11" s="5"/>
      <c r="C1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78"/>
  <sheetViews>
    <sheetView showGridLines="0" tabSelected="1" topLeftCell="D1" zoomScale="89" zoomScaleNormal="100" workbookViewId="0">
      <pane ySplit="2" topLeftCell="A3" activePane="bottomLeft" state="frozen"/>
      <selection activeCell="G1" sqref="G1"/>
      <selection pane="bottomLeft" activeCell="M18" sqref="M18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28" customWidth="1"/>
    <col min="4" max="4" width="24" customWidth="1"/>
    <col min="5" max="5" width="30" customWidth="1"/>
    <col min="6" max="6" width="28" customWidth="1"/>
    <col min="7" max="7" width="30" customWidth="1"/>
    <col min="8" max="9" width="9" customWidth="1"/>
    <col min="10" max="10" width="20" customWidth="1"/>
  </cols>
  <sheetData>
    <row r="1" spans="1:10" ht="15" customHeight="1" x14ac:dyDescent="0.35">
      <c r="A1" s="25" t="s">
        <v>14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4" customHeight="1" x14ac:dyDescent="0.3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10</v>
      </c>
      <c r="J2" s="6" t="s">
        <v>23</v>
      </c>
    </row>
    <row r="3" spans="1:10" ht="66" customHeight="1" x14ac:dyDescent="0.35">
      <c r="A3" s="7" t="s">
        <v>24</v>
      </c>
      <c r="B3" s="8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9" t="s">
        <v>31</v>
      </c>
      <c r="I3" s="10" t="s">
        <v>32</v>
      </c>
      <c r="J3" s="11" t="s">
        <v>33</v>
      </c>
    </row>
    <row r="4" spans="1:10" ht="66" customHeight="1" x14ac:dyDescent="0.35">
      <c r="A4" s="12" t="s">
        <v>34</v>
      </c>
      <c r="B4" s="8" t="s">
        <v>25</v>
      </c>
      <c r="C4" s="12" t="s">
        <v>35</v>
      </c>
      <c r="D4" s="12" t="s">
        <v>27</v>
      </c>
      <c r="E4" s="12" t="s">
        <v>36</v>
      </c>
      <c r="F4" s="12" t="s">
        <v>37</v>
      </c>
      <c r="G4" s="12" t="s">
        <v>38</v>
      </c>
      <c r="H4" s="9" t="s">
        <v>31</v>
      </c>
      <c r="I4" s="10" t="s">
        <v>32</v>
      </c>
      <c r="J4" s="11" t="s">
        <v>33</v>
      </c>
    </row>
    <row r="5" spans="1:10" ht="66" customHeight="1" x14ac:dyDescent="0.35">
      <c r="A5" s="7" t="s">
        <v>39</v>
      </c>
      <c r="B5" s="8" t="s">
        <v>25</v>
      </c>
      <c r="C5" s="7" t="s">
        <v>40</v>
      </c>
      <c r="D5" s="7" t="s">
        <v>27</v>
      </c>
      <c r="E5" s="7" t="s">
        <v>41</v>
      </c>
      <c r="F5" s="7" t="s">
        <v>42</v>
      </c>
      <c r="G5" s="7" t="s">
        <v>43</v>
      </c>
      <c r="H5" s="9" t="s">
        <v>31</v>
      </c>
      <c r="I5" s="10" t="s">
        <v>44</v>
      </c>
      <c r="J5" s="11" t="s">
        <v>33</v>
      </c>
    </row>
    <row r="6" spans="1:10" ht="66" customHeight="1" x14ac:dyDescent="0.35">
      <c r="A6" s="12" t="s">
        <v>45</v>
      </c>
      <c r="B6" s="8" t="s">
        <v>25</v>
      </c>
      <c r="C6" s="12" t="s">
        <v>46</v>
      </c>
      <c r="D6" s="12" t="s">
        <v>27</v>
      </c>
      <c r="E6" s="12" t="s">
        <v>47</v>
      </c>
      <c r="F6" s="12" t="s">
        <v>48</v>
      </c>
      <c r="G6" s="12" t="s">
        <v>49</v>
      </c>
      <c r="H6" s="9" t="s">
        <v>31</v>
      </c>
      <c r="I6" s="10" t="s">
        <v>44</v>
      </c>
      <c r="J6" s="11" t="s">
        <v>33</v>
      </c>
    </row>
    <row r="7" spans="1:10" ht="66" customHeight="1" x14ac:dyDescent="0.35">
      <c r="A7" s="7" t="s">
        <v>50</v>
      </c>
      <c r="B7" s="8" t="s">
        <v>25</v>
      </c>
      <c r="C7" s="7" t="s">
        <v>51</v>
      </c>
      <c r="D7" s="7" t="s">
        <v>52</v>
      </c>
      <c r="E7" s="7" t="s">
        <v>53</v>
      </c>
      <c r="F7" s="7" t="s">
        <v>54</v>
      </c>
      <c r="G7" s="7" t="s">
        <v>55</v>
      </c>
      <c r="H7" s="9" t="s">
        <v>31</v>
      </c>
      <c r="I7" s="10" t="s">
        <v>44</v>
      </c>
      <c r="J7" s="11" t="s">
        <v>381</v>
      </c>
    </row>
    <row r="8" spans="1:10" ht="66" customHeight="1" x14ac:dyDescent="0.35">
      <c r="A8" s="12" t="s">
        <v>56</v>
      </c>
      <c r="B8" s="8" t="s">
        <v>25</v>
      </c>
      <c r="C8" s="12" t="s">
        <v>57</v>
      </c>
      <c r="D8" s="12" t="s">
        <v>52</v>
      </c>
      <c r="E8" s="12" t="s">
        <v>58</v>
      </c>
      <c r="F8" s="12" t="s">
        <v>59</v>
      </c>
      <c r="G8" s="12" t="s">
        <v>60</v>
      </c>
      <c r="H8" s="9" t="s">
        <v>31</v>
      </c>
      <c r="I8" s="10" t="s">
        <v>44</v>
      </c>
      <c r="J8" s="11" t="s">
        <v>33</v>
      </c>
    </row>
    <row r="9" spans="1:10" ht="66" customHeight="1" x14ac:dyDescent="0.35">
      <c r="A9" s="7" t="s">
        <v>61</v>
      </c>
      <c r="B9" s="8" t="s">
        <v>25</v>
      </c>
      <c r="C9" s="7" t="s">
        <v>62</v>
      </c>
      <c r="D9" s="7" t="s">
        <v>52</v>
      </c>
      <c r="E9" s="7" t="s">
        <v>63</v>
      </c>
      <c r="F9" s="7" t="s">
        <v>64</v>
      </c>
      <c r="G9" s="7" t="s">
        <v>65</v>
      </c>
      <c r="H9" s="9" t="s">
        <v>31</v>
      </c>
      <c r="I9" s="10" t="s">
        <v>44</v>
      </c>
      <c r="J9" s="11" t="s">
        <v>33</v>
      </c>
    </row>
    <row r="10" spans="1:10" ht="66" customHeight="1" x14ac:dyDescent="0.35">
      <c r="A10" s="12" t="s">
        <v>66</v>
      </c>
      <c r="B10" s="8" t="s">
        <v>25</v>
      </c>
      <c r="C10" s="12" t="s">
        <v>67</v>
      </c>
      <c r="D10" s="12" t="s">
        <v>52</v>
      </c>
      <c r="E10" s="12" t="s">
        <v>68</v>
      </c>
      <c r="F10" s="12" t="s">
        <v>69</v>
      </c>
      <c r="G10" s="12" t="s">
        <v>70</v>
      </c>
      <c r="H10" s="9" t="s">
        <v>31</v>
      </c>
      <c r="I10" s="10" t="s">
        <v>44</v>
      </c>
      <c r="J10" s="11" t="s">
        <v>33</v>
      </c>
    </row>
    <row r="11" spans="1:10" ht="66" customHeight="1" x14ac:dyDescent="0.35">
      <c r="A11" s="7" t="s">
        <v>71</v>
      </c>
      <c r="B11" s="8" t="s">
        <v>25</v>
      </c>
      <c r="C11" s="7" t="s">
        <v>72</v>
      </c>
      <c r="D11" s="7" t="s">
        <v>52</v>
      </c>
      <c r="E11" s="7" t="s">
        <v>73</v>
      </c>
      <c r="F11" s="7" t="s">
        <v>74</v>
      </c>
      <c r="G11" s="7" t="s">
        <v>75</v>
      </c>
      <c r="H11" s="9" t="s">
        <v>31</v>
      </c>
      <c r="I11" s="10" t="s">
        <v>44</v>
      </c>
      <c r="J11" s="11" t="s">
        <v>33</v>
      </c>
    </row>
    <row r="12" spans="1:10" ht="66" customHeight="1" x14ac:dyDescent="0.35">
      <c r="A12" s="12" t="s">
        <v>76</v>
      </c>
      <c r="B12" s="8" t="s">
        <v>25</v>
      </c>
      <c r="C12" s="12" t="s">
        <v>77</v>
      </c>
      <c r="D12" s="12" t="s">
        <v>52</v>
      </c>
      <c r="E12" s="12" t="s">
        <v>78</v>
      </c>
      <c r="F12" s="12" t="s">
        <v>79</v>
      </c>
      <c r="G12" s="12" t="s">
        <v>80</v>
      </c>
      <c r="H12" s="9" t="s">
        <v>31</v>
      </c>
      <c r="I12" s="10" t="s">
        <v>44</v>
      </c>
      <c r="J12" s="11" t="s">
        <v>33</v>
      </c>
    </row>
    <row r="13" spans="1:10" ht="66" customHeight="1" x14ac:dyDescent="0.35">
      <c r="A13" s="7" t="s">
        <v>81</v>
      </c>
      <c r="B13" s="8" t="s">
        <v>25</v>
      </c>
      <c r="C13" s="7" t="s">
        <v>82</v>
      </c>
      <c r="D13" s="7" t="s">
        <v>52</v>
      </c>
      <c r="E13" s="7" t="s">
        <v>83</v>
      </c>
      <c r="F13" s="7" t="s">
        <v>84</v>
      </c>
      <c r="G13" s="7" t="s">
        <v>85</v>
      </c>
      <c r="H13" s="9" t="s">
        <v>31</v>
      </c>
      <c r="I13" s="10" t="s">
        <v>32</v>
      </c>
      <c r="J13" s="11" t="s">
        <v>33</v>
      </c>
    </row>
    <row r="14" spans="1:10" ht="66" customHeight="1" x14ac:dyDescent="0.35">
      <c r="A14" s="12" t="s">
        <v>86</v>
      </c>
      <c r="B14" s="8" t="s">
        <v>25</v>
      </c>
      <c r="C14" s="12" t="s">
        <v>87</v>
      </c>
      <c r="D14" s="12" t="s">
        <v>88</v>
      </c>
      <c r="E14" s="12" t="s">
        <v>89</v>
      </c>
      <c r="F14" s="12" t="s">
        <v>90</v>
      </c>
      <c r="G14" s="12" t="s">
        <v>91</v>
      </c>
      <c r="H14" s="9" t="s">
        <v>31</v>
      </c>
      <c r="I14" s="10" t="s">
        <v>32</v>
      </c>
      <c r="J14" s="11" t="s">
        <v>33</v>
      </c>
    </row>
    <row r="15" spans="1:10" ht="66" customHeight="1" x14ac:dyDescent="0.35">
      <c r="A15" s="7" t="s">
        <v>92</v>
      </c>
      <c r="B15" s="8" t="s">
        <v>25</v>
      </c>
      <c r="C15" s="7" t="s">
        <v>93</v>
      </c>
      <c r="D15" s="7" t="s">
        <v>52</v>
      </c>
      <c r="E15" s="7" t="s">
        <v>94</v>
      </c>
      <c r="F15" s="7" t="s">
        <v>95</v>
      </c>
      <c r="G15" s="7" t="s">
        <v>96</v>
      </c>
      <c r="H15" s="9" t="s">
        <v>31</v>
      </c>
      <c r="I15" s="10" t="s">
        <v>32</v>
      </c>
      <c r="J15" s="11" t="s">
        <v>33</v>
      </c>
    </row>
    <row r="16" spans="1:10" ht="66" customHeight="1" x14ac:dyDescent="0.35">
      <c r="A16" s="12" t="s">
        <v>97</v>
      </c>
      <c r="B16" s="8" t="s">
        <v>25</v>
      </c>
      <c r="C16" s="12" t="s">
        <v>98</v>
      </c>
      <c r="D16" s="12" t="s">
        <v>99</v>
      </c>
      <c r="E16" s="12" t="s">
        <v>100</v>
      </c>
      <c r="F16" s="12" t="s">
        <v>101</v>
      </c>
      <c r="G16" s="12" t="s">
        <v>102</v>
      </c>
      <c r="H16" s="9" t="s">
        <v>31</v>
      </c>
      <c r="I16" s="10" t="s">
        <v>32</v>
      </c>
      <c r="J16" s="11" t="s">
        <v>33</v>
      </c>
    </row>
    <row r="17" spans="1:10" ht="66" customHeight="1" x14ac:dyDescent="0.35">
      <c r="A17" s="7" t="s">
        <v>103</v>
      </c>
      <c r="B17" s="8" t="s">
        <v>25</v>
      </c>
      <c r="C17" s="7" t="s">
        <v>104</v>
      </c>
      <c r="D17" s="7" t="s">
        <v>99</v>
      </c>
      <c r="E17" s="7" t="s">
        <v>105</v>
      </c>
      <c r="F17" s="7" t="s">
        <v>106</v>
      </c>
      <c r="G17" s="7" t="s">
        <v>107</v>
      </c>
      <c r="H17" s="9" t="s">
        <v>31</v>
      </c>
      <c r="I17" s="10" t="s">
        <v>44</v>
      </c>
      <c r="J17" s="11" t="s">
        <v>33</v>
      </c>
    </row>
    <row r="18" spans="1:10" ht="66" customHeight="1" x14ac:dyDescent="0.35">
      <c r="A18" s="12" t="s">
        <v>108</v>
      </c>
      <c r="B18" s="8" t="s">
        <v>25</v>
      </c>
      <c r="C18" s="12" t="s">
        <v>109</v>
      </c>
      <c r="D18" s="12" t="s">
        <v>110</v>
      </c>
      <c r="E18" s="12" t="s">
        <v>111</v>
      </c>
      <c r="F18" s="12" t="s">
        <v>112</v>
      </c>
      <c r="G18" s="12" t="s">
        <v>113</v>
      </c>
      <c r="H18" s="9" t="s">
        <v>31</v>
      </c>
      <c r="I18" s="10" t="s">
        <v>44</v>
      </c>
      <c r="J18" s="11" t="s">
        <v>33</v>
      </c>
    </row>
    <row r="19" spans="1:10" ht="66" customHeight="1" x14ac:dyDescent="0.35">
      <c r="A19" s="7" t="s">
        <v>114</v>
      </c>
      <c r="B19" s="8" t="s">
        <v>25</v>
      </c>
      <c r="C19" s="7" t="s">
        <v>115</v>
      </c>
      <c r="D19" s="7" t="s">
        <v>110</v>
      </c>
      <c r="E19" s="7" t="s">
        <v>116</v>
      </c>
      <c r="F19" s="7" t="s">
        <v>117</v>
      </c>
      <c r="G19" s="7" t="s">
        <v>118</v>
      </c>
      <c r="H19" s="9" t="s">
        <v>31</v>
      </c>
      <c r="I19" s="10" t="s">
        <v>119</v>
      </c>
      <c r="J19" s="11" t="s">
        <v>381</v>
      </c>
    </row>
    <row r="20" spans="1:10" ht="66" customHeight="1" x14ac:dyDescent="0.35">
      <c r="A20" s="12" t="s">
        <v>120</v>
      </c>
      <c r="B20" s="8" t="s">
        <v>25</v>
      </c>
      <c r="C20" s="12" t="s">
        <v>121</v>
      </c>
      <c r="D20" s="12" t="s">
        <v>122</v>
      </c>
      <c r="E20" s="12" t="s">
        <v>123</v>
      </c>
      <c r="F20" s="12" t="s">
        <v>124</v>
      </c>
      <c r="G20" s="12" t="s">
        <v>125</v>
      </c>
      <c r="H20" s="13" t="s">
        <v>33</v>
      </c>
      <c r="I20" s="10" t="s">
        <v>44</v>
      </c>
      <c r="J20" s="11" t="s">
        <v>382</v>
      </c>
    </row>
    <row r="21" spans="1:10" ht="66" customHeight="1" x14ac:dyDescent="0.35">
      <c r="A21" s="7" t="s">
        <v>126</v>
      </c>
      <c r="B21" s="8" t="s">
        <v>25</v>
      </c>
      <c r="C21" s="7" t="s">
        <v>127</v>
      </c>
      <c r="D21" s="7" t="s">
        <v>128</v>
      </c>
      <c r="E21" s="7" t="s">
        <v>129</v>
      </c>
      <c r="F21" s="7" t="s">
        <v>130</v>
      </c>
      <c r="G21" s="7" t="s">
        <v>131</v>
      </c>
      <c r="H21" s="9" t="s">
        <v>31</v>
      </c>
      <c r="I21" s="10" t="s">
        <v>119</v>
      </c>
      <c r="J21" s="11" t="s">
        <v>31</v>
      </c>
    </row>
    <row r="22" spans="1:10" ht="66" customHeight="1" x14ac:dyDescent="0.35">
      <c r="A22" s="12" t="s">
        <v>132</v>
      </c>
      <c r="B22" s="8" t="s">
        <v>25</v>
      </c>
      <c r="C22" s="12" t="s">
        <v>133</v>
      </c>
      <c r="D22" s="12" t="s">
        <v>134</v>
      </c>
      <c r="E22" s="12" t="s">
        <v>135</v>
      </c>
      <c r="F22" s="12" t="s">
        <v>136</v>
      </c>
      <c r="G22" s="12" t="s">
        <v>137</v>
      </c>
      <c r="H22" s="9" t="s">
        <v>31</v>
      </c>
      <c r="I22" s="10" t="s">
        <v>119</v>
      </c>
      <c r="J22" s="11" t="s">
        <v>381</v>
      </c>
    </row>
    <row r="23" spans="1:10" ht="66" customHeight="1" x14ac:dyDescent="0.35">
      <c r="A23" s="12" t="s">
        <v>138</v>
      </c>
      <c r="B23" s="8" t="s">
        <v>25</v>
      </c>
      <c r="C23" s="12" t="s">
        <v>139</v>
      </c>
      <c r="D23" s="12" t="s">
        <v>140</v>
      </c>
      <c r="E23" s="12" t="s">
        <v>141</v>
      </c>
      <c r="F23" s="12" t="s">
        <v>142</v>
      </c>
      <c r="G23" s="12" t="s">
        <v>143</v>
      </c>
      <c r="H23" s="13" t="s">
        <v>33</v>
      </c>
      <c r="I23" s="10" t="s">
        <v>44</v>
      </c>
      <c r="J23" s="11" t="s">
        <v>33</v>
      </c>
    </row>
    <row r="24" spans="1:10" ht="66" customHeight="1" x14ac:dyDescent="0.35">
      <c r="A24" s="12" t="s">
        <v>144</v>
      </c>
      <c r="B24" s="8" t="s">
        <v>25</v>
      </c>
      <c r="C24" s="12" t="s">
        <v>145</v>
      </c>
      <c r="D24" s="12" t="s">
        <v>140</v>
      </c>
      <c r="E24" s="12" t="s">
        <v>146</v>
      </c>
      <c r="F24" s="12" t="s">
        <v>147</v>
      </c>
      <c r="G24" s="12" t="s">
        <v>148</v>
      </c>
      <c r="H24" s="9" t="s">
        <v>31</v>
      </c>
      <c r="I24" s="10" t="s">
        <v>44</v>
      </c>
      <c r="J24" s="11" t="s">
        <v>33</v>
      </c>
    </row>
    <row r="25" spans="1:10" ht="66" customHeight="1" x14ac:dyDescent="0.35">
      <c r="A25" s="7" t="s">
        <v>149</v>
      </c>
      <c r="B25" s="14" t="s">
        <v>150</v>
      </c>
      <c r="C25" s="7" t="s">
        <v>151</v>
      </c>
      <c r="D25" s="7" t="s">
        <v>27</v>
      </c>
      <c r="E25" s="7" t="s">
        <v>152</v>
      </c>
      <c r="F25" s="7" t="s">
        <v>153</v>
      </c>
      <c r="G25" s="7" t="s">
        <v>154</v>
      </c>
      <c r="H25" s="9" t="s">
        <v>31</v>
      </c>
      <c r="I25" s="10" t="s">
        <v>32</v>
      </c>
      <c r="J25" s="11" t="s">
        <v>33</v>
      </c>
    </row>
    <row r="26" spans="1:10" ht="66" customHeight="1" x14ac:dyDescent="0.35">
      <c r="A26" s="12" t="s">
        <v>155</v>
      </c>
      <c r="B26" s="15" t="s">
        <v>156</v>
      </c>
      <c r="C26" s="12" t="s">
        <v>157</v>
      </c>
      <c r="D26" s="12" t="s">
        <v>158</v>
      </c>
      <c r="E26" s="12" t="s">
        <v>159</v>
      </c>
      <c r="F26" s="12" t="s">
        <v>160</v>
      </c>
      <c r="G26" s="12" t="s">
        <v>161</v>
      </c>
      <c r="H26" s="13" t="s">
        <v>33</v>
      </c>
      <c r="I26" s="10" t="s">
        <v>44</v>
      </c>
      <c r="J26" s="11" t="s">
        <v>381</v>
      </c>
    </row>
    <row r="27" spans="1:10" ht="66" customHeight="1" x14ac:dyDescent="0.35">
      <c r="A27" s="7" t="s">
        <v>162</v>
      </c>
      <c r="B27" s="15" t="s">
        <v>156</v>
      </c>
      <c r="C27" s="7" t="s">
        <v>163</v>
      </c>
      <c r="D27" s="7" t="s">
        <v>158</v>
      </c>
      <c r="E27" s="7" t="s">
        <v>164</v>
      </c>
      <c r="F27" s="7" t="s">
        <v>165</v>
      </c>
      <c r="G27" s="7" t="s">
        <v>166</v>
      </c>
      <c r="H27" s="13" t="s">
        <v>33</v>
      </c>
      <c r="I27" s="10" t="s">
        <v>44</v>
      </c>
      <c r="J27" s="11" t="s">
        <v>31</v>
      </c>
    </row>
    <row r="28" spans="1:10" ht="66" customHeight="1" x14ac:dyDescent="0.35">
      <c r="A28" s="12" t="s">
        <v>167</v>
      </c>
      <c r="B28" s="15" t="s">
        <v>156</v>
      </c>
      <c r="C28" s="12" t="s">
        <v>168</v>
      </c>
      <c r="D28" s="12" t="s">
        <v>158</v>
      </c>
      <c r="E28" s="12" t="s">
        <v>169</v>
      </c>
      <c r="F28" s="12" t="s">
        <v>170</v>
      </c>
      <c r="G28" s="12" t="s">
        <v>171</v>
      </c>
      <c r="H28" s="13" t="s">
        <v>33</v>
      </c>
      <c r="I28" s="10" t="s">
        <v>32</v>
      </c>
      <c r="J28" s="11" t="s">
        <v>382</v>
      </c>
    </row>
    <row r="29" spans="1:10" ht="66" customHeight="1" x14ac:dyDescent="0.35">
      <c r="A29" s="7" t="s">
        <v>172</v>
      </c>
      <c r="B29" s="15" t="s">
        <v>156</v>
      </c>
      <c r="C29" s="7" t="s">
        <v>173</v>
      </c>
      <c r="D29" s="7" t="s">
        <v>158</v>
      </c>
      <c r="E29" s="7" t="s">
        <v>174</v>
      </c>
      <c r="F29" s="7" t="s">
        <v>175</v>
      </c>
      <c r="G29" s="7" t="s">
        <v>176</v>
      </c>
      <c r="H29" s="13" t="s">
        <v>33</v>
      </c>
      <c r="I29" s="10" t="s">
        <v>32</v>
      </c>
      <c r="J29" s="11" t="s">
        <v>33</v>
      </c>
    </row>
    <row r="30" spans="1:10" ht="66" customHeight="1" x14ac:dyDescent="0.35">
      <c r="A30" s="7" t="s">
        <v>177</v>
      </c>
      <c r="B30" s="15" t="s">
        <v>156</v>
      </c>
      <c r="C30" s="12" t="s">
        <v>178</v>
      </c>
      <c r="D30" s="12" t="s">
        <v>158</v>
      </c>
      <c r="E30" s="12" t="s">
        <v>179</v>
      </c>
      <c r="F30" s="12" t="s">
        <v>180</v>
      </c>
      <c r="G30" s="12" t="s">
        <v>181</v>
      </c>
      <c r="H30" s="9" t="s">
        <v>31</v>
      </c>
      <c r="I30" s="10" t="s">
        <v>32</v>
      </c>
      <c r="J30" s="11" t="s">
        <v>33</v>
      </c>
    </row>
    <row r="31" spans="1:10" ht="66" customHeight="1" x14ac:dyDescent="0.35">
      <c r="A31" s="7" t="s">
        <v>182</v>
      </c>
      <c r="B31" s="15" t="s">
        <v>156</v>
      </c>
      <c r="C31" s="7" t="s">
        <v>183</v>
      </c>
      <c r="D31" s="7" t="s">
        <v>158</v>
      </c>
      <c r="E31" s="7" t="s">
        <v>184</v>
      </c>
      <c r="F31" s="7" t="s">
        <v>185</v>
      </c>
      <c r="G31" s="7" t="s">
        <v>186</v>
      </c>
      <c r="H31" s="13" t="s">
        <v>33</v>
      </c>
      <c r="I31" s="10" t="s">
        <v>44</v>
      </c>
      <c r="J31" s="11" t="s">
        <v>33</v>
      </c>
    </row>
    <row r="32" spans="1:10" ht="66" customHeight="1" x14ac:dyDescent="0.35">
      <c r="A32" s="7" t="s">
        <v>187</v>
      </c>
      <c r="B32" s="15" t="s">
        <v>156</v>
      </c>
      <c r="C32" s="7" t="s">
        <v>188</v>
      </c>
      <c r="D32" s="7" t="s">
        <v>189</v>
      </c>
      <c r="E32" s="7" t="s">
        <v>190</v>
      </c>
      <c r="F32" s="7" t="s">
        <v>191</v>
      </c>
      <c r="G32" s="7" t="s">
        <v>192</v>
      </c>
      <c r="H32" s="9" t="s">
        <v>31</v>
      </c>
      <c r="I32" s="10" t="s">
        <v>32</v>
      </c>
      <c r="J32" s="11" t="s">
        <v>33</v>
      </c>
    </row>
    <row r="33" spans="1:10" ht="66" customHeight="1" x14ac:dyDescent="0.35">
      <c r="A33" s="7" t="s">
        <v>193</v>
      </c>
      <c r="B33" s="15" t="s">
        <v>156</v>
      </c>
      <c r="C33" s="12" t="s">
        <v>194</v>
      </c>
      <c r="D33" s="12" t="s">
        <v>189</v>
      </c>
      <c r="E33" s="12" t="s">
        <v>195</v>
      </c>
      <c r="F33" s="12" t="s">
        <v>196</v>
      </c>
      <c r="G33" s="12" t="s">
        <v>197</v>
      </c>
      <c r="H33" s="13" t="s">
        <v>33</v>
      </c>
      <c r="I33" s="10" t="s">
        <v>32</v>
      </c>
      <c r="J33" s="11" t="s">
        <v>382</v>
      </c>
    </row>
    <row r="34" spans="1:10" ht="66" customHeight="1" x14ac:dyDescent="0.35">
      <c r="A34" s="7" t="s">
        <v>198</v>
      </c>
      <c r="B34" s="15" t="s">
        <v>156</v>
      </c>
      <c r="C34" s="7" t="s">
        <v>199</v>
      </c>
      <c r="D34" s="7" t="s">
        <v>189</v>
      </c>
      <c r="E34" s="7" t="s">
        <v>200</v>
      </c>
      <c r="F34" s="7" t="s">
        <v>201</v>
      </c>
      <c r="G34" s="7" t="s">
        <v>202</v>
      </c>
      <c r="H34" s="9" t="s">
        <v>31</v>
      </c>
      <c r="I34" s="10" t="s">
        <v>32</v>
      </c>
      <c r="J34" s="11" t="s">
        <v>33</v>
      </c>
    </row>
    <row r="35" spans="1:10" ht="66" customHeight="1" x14ac:dyDescent="0.35">
      <c r="A35" s="7" t="s">
        <v>203</v>
      </c>
      <c r="B35" s="15" t="s">
        <v>156</v>
      </c>
      <c r="C35" s="12" t="s">
        <v>204</v>
      </c>
      <c r="D35" s="12" t="s">
        <v>189</v>
      </c>
      <c r="E35" s="12" t="s">
        <v>205</v>
      </c>
      <c r="F35" s="12" t="s">
        <v>206</v>
      </c>
      <c r="G35" s="12" t="s">
        <v>207</v>
      </c>
      <c r="H35" s="13" t="s">
        <v>33</v>
      </c>
      <c r="I35" s="10" t="s">
        <v>32</v>
      </c>
      <c r="J35" s="11" t="s">
        <v>33</v>
      </c>
    </row>
    <row r="36" spans="1:10" ht="66" customHeight="1" x14ac:dyDescent="0.35">
      <c r="A36" s="7" t="s">
        <v>208</v>
      </c>
      <c r="B36" s="15" t="s">
        <v>156</v>
      </c>
      <c r="C36" s="7" t="s">
        <v>209</v>
      </c>
      <c r="D36" s="7" t="s">
        <v>210</v>
      </c>
      <c r="E36" s="7" t="s">
        <v>211</v>
      </c>
      <c r="F36" s="7" t="s">
        <v>212</v>
      </c>
      <c r="G36" s="7" t="s">
        <v>213</v>
      </c>
      <c r="H36" s="9" t="s">
        <v>31</v>
      </c>
      <c r="I36" s="10" t="s">
        <v>44</v>
      </c>
      <c r="J36" s="11" t="s">
        <v>33</v>
      </c>
    </row>
    <row r="37" spans="1:10" ht="66" customHeight="1" x14ac:dyDescent="0.35">
      <c r="A37" s="7" t="s">
        <v>214</v>
      </c>
      <c r="B37" s="15" t="s">
        <v>156</v>
      </c>
      <c r="C37" s="12" t="s">
        <v>115</v>
      </c>
      <c r="D37" s="12" t="s">
        <v>210</v>
      </c>
      <c r="E37" s="12" t="s">
        <v>116</v>
      </c>
      <c r="F37" s="12" t="s">
        <v>117</v>
      </c>
      <c r="G37" s="12" t="s">
        <v>215</v>
      </c>
      <c r="H37" s="13" t="s">
        <v>33</v>
      </c>
      <c r="I37" s="10" t="s">
        <v>119</v>
      </c>
      <c r="J37" s="22" t="s">
        <v>381</v>
      </c>
    </row>
    <row r="38" spans="1:10" ht="66" customHeight="1" x14ac:dyDescent="0.35">
      <c r="A38" s="7" t="s">
        <v>216</v>
      </c>
      <c r="B38" s="15" t="s">
        <v>156</v>
      </c>
      <c r="C38" s="7" t="s">
        <v>121</v>
      </c>
      <c r="D38" s="7" t="s">
        <v>217</v>
      </c>
      <c r="E38" s="7" t="s">
        <v>218</v>
      </c>
      <c r="F38" s="7" t="s">
        <v>219</v>
      </c>
      <c r="G38" s="7" t="s">
        <v>220</v>
      </c>
      <c r="H38" s="13" t="s">
        <v>33</v>
      </c>
      <c r="I38" s="10" t="s">
        <v>44</v>
      </c>
      <c r="J38" s="22" t="s">
        <v>381</v>
      </c>
    </row>
    <row r="39" spans="1:10" ht="66" customHeight="1" x14ac:dyDescent="0.35">
      <c r="A39" s="7" t="s">
        <v>221</v>
      </c>
      <c r="B39" s="15" t="s">
        <v>156</v>
      </c>
      <c r="C39" s="12" t="s">
        <v>127</v>
      </c>
      <c r="D39" s="12" t="s">
        <v>222</v>
      </c>
      <c r="E39" s="12" t="s">
        <v>129</v>
      </c>
      <c r="F39" s="12" t="s">
        <v>130</v>
      </c>
      <c r="G39" s="12" t="s">
        <v>131</v>
      </c>
      <c r="H39" s="9" t="s">
        <v>31</v>
      </c>
      <c r="I39" s="10" t="s">
        <v>119</v>
      </c>
      <c r="J39" s="22" t="s">
        <v>381</v>
      </c>
    </row>
    <row r="40" spans="1:10" ht="66" customHeight="1" x14ac:dyDescent="0.35">
      <c r="A40" s="7" t="s">
        <v>223</v>
      </c>
      <c r="B40" s="15" t="s">
        <v>156</v>
      </c>
      <c r="C40" s="7" t="s">
        <v>133</v>
      </c>
      <c r="D40" s="7" t="s">
        <v>224</v>
      </c>
      <c r="E40" s="7" t="s">
        <v>135</v>
      </c>
      <c r="F40" s="7" t="s">
        <v>136</v>
      </c>
      <c r="G40" s="7" t="s">
        <v>137</v>
      </c>
      <c r="H40" s="9" t="s">
        <v>31</v>
      </c>
      <c r="I40" s="10" t="s">
        <v>119</v>
      </c>
      <c r="J40" s="22" t="s">
        <v>381</v>
      </c>
    </row>
    <row r="41" spans="1:10" ht="66" customHeight="1" x14ac:dyDescent="0.35">
      <c r="A41" s="23" t="s">
        <v>225</v>
      </c>
      <c r="B41" s="16" t="s">
        <v>226</v>
      </c>
      <c r="C41" s="12" t="s">
        <v>227</v>
      </c>
      <c r="D41" s="12" t="s">
        <v>27</v>
      </c>
      <c r="E41" s="12" t="s">
        <v>228</v>
      </c>
      <c r="F41" s="12" t="s">
        <v>229</v>
      </c>
      <c r="G41" s="12" t="s">
        <v>230</v>
      </c>
      <c r="H41" s="13" t="s">
        <v>33</v>
      </c>
      <c r="I41" s="10" t="s">
        <v>44</v>
      </c>
      <c r="J41" s="22" t="s">
        <v>382</v>
      </c>
    </row>
    <row r="42" spans="1:10" ht="66" customHeight="1" x14ac:dyDescent="0.35">
      <c r="A42" s="7" t="s">
        <v>231</v>
      </c>
      <c r="B42" s="16" t="s">
        <v>226</v>
      </c>
      <c r="C42" s="7" t="s">
        <v>232</v>
      </c>
      <c r="D42" s="7" t="s">
        <v>233</v>
      </c>
      <c r="E42" s="7" t="s">
        <v>234</v>
      </c>
      <c r="F42" s="7" t="s">
        <v>235</v>
      </c>
      <c r="G42" s="7" t="s">
        <v>236</v>
      </c>
      <c r="H42" s="13" t="s">
        <v>33</v>
      </c>
      <c r="I42" s="10" t="s">
        <v>119</v>
      </c>
      <c r="J42" s="22" t="s">
        <v>381</v>
      </c>
    </row>
    <row r="43" spans="1:10" ht="66" customHeight="1" x14ac:dyDescent="0.35">
      <c r="A43" s="12" t="s">
        <v>237</v>
      </c>
      <c r="B43" s="16" t="s">
        <v>226</v>
      </c>
      <c r="C43" s="12" t="s">
        <v>238</v>
      </c>
      <c r="D43" s="12" t="s">
        <v>233</v>
      </c>
      <c r="E43" s="12" t="s">
        <v>239</v>
      </c>
      <c r="F43" s="12" t="s">
        <v>240</v>
      </c>
      <c r="G43" s="12" t="s">
        <v>241</v>
      </c>
      <c r="H43" s="13" t="s">
        <v>33</v>
      </c>
      <c r="I43" s="10" t="s">
        <v>119</v>
      </c>
      <c r="J43" s="22" t="s">
        <v>381</v>
      </c>
    </row>
    <row r="44" spans="1:10" ht="66" customHeight="1" x14ac:dyDescent="0.35">
      <c r="A44" s="7" t="s">
        <v>242</v>
      </c>
      <c r="B44" s="16" t="s">
        <v>226</v>
      </c>
      <c r="C44" s="7" t="s">
        <v>243</v>
      </c>
      <c r="D44" s="7" t="s">
        <v>244</v>
      </c>
      <c r="E44" s="7" t="s">
        <v>245</v>
      </c>
      <c r="F44" s="7" t="s">
        <v>246</v>
      </c>
      <c r="G44" s="7" t="s">
        <v>247</v>
      </c>
      <c r="H44" s="9" t="s">
        <v>31</v>
      </c>
      <c r="I44" s="10" t="s">
        <v>32</v>
      </c>
      <c r="J44" s="11" t="s">
        <v>33</v>
      </c>
    </row>
    <row r="45" spans="1:10" ht="66" customHeight="1" x14ac:dyDescent="0.35">
      <c r="A45" s="12" t="s">
        <v>248</v>
      </c>
      <c r="B45" s="16" t="s">
        <v>226</v>
      </c>
      <c r="C45" s="12" t="s">
        <v>249</v>
      </c>
      <c r="D45" s="12" t="s">
        <v>250</v>
      </c>
      <c r="E45" s="12" t="s">
        <v>251</v>
      </c>
      <c r="F45" s="12" t="s">
        <v>252</v>
      </c>
      <c r="G45" s="12" t="s">
        <v>253</v>
      </c>
      <c r="H45" s="9" t="s">
        <v>31</v>
      </c>
      <c r="I45" s="10" t="s">
        <v>44</v>
      </c>
      <c r="J45" s="22" t="s">
        <v>381</v>
      </c>
    </row>
    <row r="46" spans="1:10" ht="66" customHeight="1" x14ac:dyDescent="0.35">
      <c r="A46" s="7" t="s">
        <v>254</v>
      </c>
      <c r="B46" s="16" t="s">
        <v>226</v>
      </c>
      <c r="C46" s="7" t="s">
        <v>209</v>
      </c>
      <c r="D46" s="7" t="s">
        <v>255</v>
      </c>
      <c r="E46" s="7" t="s">
        <v>211</v>
      </c>
      <c r="F46" s="7" t="s">
        <v>212</v>
      </c>
      <c r="G46" s="7" t="s">
        <v>213</v>
      </c>
      <c r="H46" s="9" t="s">
        <v>31</v>
      </c>
      <c r="I46" s="10" t="s">
        <v>44</v>
      </c>
      <c r="J46" s="22" t="s">
        <v>381</v>
      </c>
    </row>
    <row r="47" spans="1:10" ht="66" customHeight="1" x14ac:dyDescent="0.35">
      <c r="A47" s="12" t="s">
        <v>256</v>
      </c>
      <c r="B47" s="16" t="s">
        <v>226</v>
      </c>
      <c r="C47" s="12" t="s">
        <v>115</v>
      </c>
      <c r="D47" s="12" t="s">
        <v>255</v>
      </c>
      <c r="E47" s="12" t="s">
        <v>116</v>
      </c>
      <c r="F47" s="12" t="s">
        <v>257</v>
      </c>
      <c r="G47" s="12" t="s">
        <v>258</v>
      </c>
      <c r="H47" s="9" t="s">
        <v>31</v>
      </c>
      <c r="I47" s="10" t="s">
        <v>119</v>
      </c>
      <c r="J47" s="22" t="s">
        <v>381</v>
      </c>
    </row>
    <row r="48" spans="1:10" ht="66" customHeight="1" x14ac:dyDescent="0.35">
      <c r="A48" s="7" t="s">
        <v>259</v>
      </c>
      <c r="B48" s="16" t="s">
        <v>226</v>
      </c>
      <c r="C48" s="7" t="s">
        <v>121</v>
      </c>
      <c r="D48" s="7" t="s">
        <v>260</v>
      </c>
      <c r="E48" s="7" t="s">
        <v>218</v>
      </c>
      <c r="F48" s="7" t="s">
        <v>219</v>
      </c>
      <c r="G48" s="7" t="s">
        <v>261</v>
      </c>
      <c r="H48" s="13" t="s">
        <v>33</v>
      </c>
      <c r="I48" s="10" t="s">
        <v>44</v>
      </c>
      <c r="J48" s="22" t="s">
        <v>381</v>
      </c>
    </row>
    <row r="49" spans="1:10" ht="66" customHeight="1" x14ac:dyDescent="0.35">
      <c r="A49" s="12" t="s">
        <v>262</v>
      </c>
      <c r="B49" s="16" t="s">
        <v>226</v>
      </c>
      <c r="C49" s="12" t="s">
        <v>127</v>
      </c>
      <c r="D49" s="12" t="s">
        <v>263</v>
      </c>
      <c r="E49" s="12" t="s">
        <v>129</v>
      </c>
      <c r="F49" s="12" t="s">
        <v>130</v>
      </c>
      <c r="G49" s="12" t="s">
        <v>131</v>
      </c>
      <c r="H49" s="9" t="s">
        <v>31</v>
      </c>
      <c r="I49" s="10" t="s">
        <v>119</v>
      </c>
      <c r="J49" s="22" t="s">
        <v>381</v>
      </c>
    </row>
    <row r="50" spans="1:10" ht="66" customHeight="1" x14ac:dyDescent="0.35">
      <c r="A50" s="7" t="s">
        <v>264</v>
      </c>
      <c r="B50" s="16" t="s">
        <v>226</v>
      </c>
      <c r="C50" s="7" t="s">
        <v>133</v>
      </c>
      <c r="D50" s="7" t="s">
        <v>265</v>
      </c>
      <c r="E50" s="7" t="s">
        <v>135</v>
      </c>
      <c r="F50" s="7" t="s">
        <v>136</v>
      </c>
      <c r="G50" s="7" t="s">
        <v>137</v>
      </c>
      <c r="H50" s="9" t="s">
        <v>31</v>
      </c>
      <c r="I50" s="10" t="s">
        <v>119</v>
      </c>
      <c r="J50" s="22" t="s">
        <v>381</v>
      </c>
    </row>
    <row r="51" spans="1:10" ht="66" customHeight="1" x14ac:dyDescent="0.35">
      <c r="A51" s="7" t="s">
        <v>266</v>
      </c>
      <c r="B51" s="16" t="s">
        <v>226</v>
      </c>
      <c r="C51" s="7" t="s">
        <v>267</v>
      </c>
      <c r="D51" s="7" t="s">
        <v>233</v>
      </c>
      <c r="E51" s="7" t="s">
        <v>268</v>
      </c>
      <c r="F51" s="7" t="s">
        <v>269</v>
      </c>
      <c r="G51" s="7" t="s">
        <v>270</v>
      </c>
      <c r="H51" s="9" t="s">
        <v>31</v>
      </c>
      <c r="I51" s="10" t="s">
        <v>44</v>
      </c>
      <c r="J51" s="11" t="s">
        <v>33</v>
      </c>
    </row>
    <row r="52" spans="1:10" ht="66" customHeight="1" x14ac:dyDescent="0.35">
      <c r="A52" s="7" t="s">
        <v>271</v>
      </c>
      <c r="B52" s="16" t="s">
        <v>226</v>
      </c>
      <c r="C52" s="7" t="s">
        <v>272</v>
      </c>
      <c r="D52" s="7" t="s">
        <v>233</v>
      </c>
      <c r="E52" s="7" t="s">
        <v>273</v>
      </c>
      <c r="F52" s="7" t="s">
        <v>274</v>
      </c>
      <c r="G52" s="7" t="s">
        <v>275</v>
      </c>
      <c r="H52" s="9" t="s">
        <v>31</v>
      </c>
      <c r="I52" s="10" t="s">
        <v>32</v>
      </c>
      <c r="J52" s="11" t="s">
        <v>33</v>
      </c>
    </row>
    <row r="53" spans="1:10" ht="66" customHeight="1" x14ac:dyDescent="0.35">
      <c r="A53" s="12" t="s">
        <v>276</v>
      </c>
      <c r="B53" s="15" t="s">
        <v>277</v>
      </c>
      <c r="C53" s="12" t="s">
        <v>278</v>
      </c>
      <c r="D53" s="12" t="s">
        <v>27</v>
      </c>
      <c r="E53" s="12" t="s">
        <v>279</v>
      </c>
      <c r="F53" s="12" t="s">
        <v>280</v>
      </c>
      <c r="G53" s="12" t="s">
        <v>281</v>
      </c>
      <c r="H53" s="9" t="s">
        <v>31</v>
      </c>
      <c r="I53" s="10" t="s">
        <v>119</v>
      </c>
      <c r="J53" s="22" t="s">
        <v>381</v>
      </c>
    </row>
    <row r="54" spans="1:10" ht="66" customHeight="1" x14ac:dyDescent="0.35">
      <c r="A54" s="7" t="s">
        <v>282</v>
      </c>
      <c r="B54" s="15" t="s">
        <v>277</v>
      </c>
      <c r="C54" s="7" t="s">
        <v>283</v>
      </c>
      <c r="D54" s="7" t="s">
        <v>284</v>
      </c>
      <c r="E54" s="7" t="s">
        <v>285</v>
      </c>
      <c r="F54" s="7" t="s">
        <v>286</v>
      </c>
      <c r="G54" s="7" t="s">
        <v>287</v>
      </c>
      <c r="H54" s="13" t="s">
        <v>33</v>
      </c>
      <c r="I54" s="10" t="s">
        <v>44</v>
      </c>
      <c r="J54" s="11" t="s">
        <v>33</v>
      </c>
    </row>
    <row r="55" spans="1:10" ht="66" customHeight="1" x14ac:dyDescent="0.35">
      <c r="A55" s="12" t="s">
        <v>288</v>
      </c>
      <c r="B55" s="15" t="s">
        <v>277</v>
      </c>
      <c r="C55" s="12" t="s">
        <v>289</v>
      </c>
      <c r="D55" s="12" t="s">
        <v>284</v>
      </c>
      <c r="E55" s="12" t="s">
        <v>169</v>
      </c>
      <c r="F55" s="12" t="s">
        <v>290</v>
      </c>
      <c r="G55" s="12" t="s">
        <v>291</v>
      </c>
      <c r="H55" s="13" t="s">
        <v>33</v>
      </c>
      <c r="I55" s="10" t="s">
        <v>32</v>
      </c>
      <c r="J55" s="22" t="s">
        <v>382</v>
      </c>
    </row>
    <row r="56" spans="1:10" ht="66" customHeight="1" x14ac:dyDescent="0.35">
      <c r="A56" s="7" t="s">
        <v>292</v>
      </c>
      <c r="B56" s="15" t="s">
        <v>277</v>
      </c>
      <c r="C56" s="7" t="s">
        <v>173</v>
      </c>
      <c r="D56" s="7" t="s">
        <v>284</v>
      </c>
      <c r="E56" s="7" t="s">
        <v>293</v>
      </c>
      <c r="F56" s="7" t="s">
        <v>175</v>
      </c>
      <c r="G56" s="7" t="s">
        <v>176</v>
      </c>
      <c r="H56" s="13" t="s">
        <v>33</v>
      </c>
      <c r="I56" s="10" t="s">
        <v>32</v>
      </c>
      <c r="J56" s="22" t="s">
        <v>381</v>
      </c>
    </row>
    <row r="57" spans="1:10" ht="66" customHeight="1" x14ac:dyDescent="0.35">
      <c r="A57" s="12" t="s">
        <v>294</v>
      </c>
      <c r="B57" s="15" t="s">
        <v>277</v>
      </c>
      <c r="C57" s="12" t="s">
        <v>178</v>
      </c>
      <c r="D57" s="12" t="s">
        <v>284</v>
      </c>
      <c r="E57" s="12" t="s">
        <v>295</v>
      </c>
      <c r="F57" s="12" t="s">
        <v>296</v>
      </c>
      <c r="G57" s="12" t="s">
        <v>181</v>
      </c>
      <c r="H57" s="9" t="s">
        <v>31</v>
      </c>
      <c r="I57" s="10" t="s">
        <v>32</v>
      </c>
      <c r="J57" s="22" t="s">
        <v>381</v>
      </c>
    </row>
    <row r="58" spans="1:10" ht="66" customHeight="1" x14ac:dyDescent="0.35">
      <c r="A58" s="7" t="s">
        <v>297</v>
      </c>
      <c r="B58" s="15" t="s">
        <v>277</v>
      </c>
      <c r="C58" s="7" t="s">
        <v>298</v>
      </c>
      <c r="D58" s="7" t="s">
        <v>299</v>
      </c>
      <c r="E58" s="7" t="s">
        <v>300</v>
      </c>
      <c r="F58" s="7" t="s">
        <v>301</v>
      </c>
      <c r="G58" s="7" t="s">
        <v>302</v>
      </c>
      <c r="H58" s="13" t="s">
        <v>33</v>
      </c>
      <c r="I58" s="10" t="s">
        <v>32</v>
      </c>
      <c r="J58" s="22" t="s">
        <v>382</v>
      </c>
    </row>
    <row r="59" spans="1:10" ht="66" customHeight="1" x14ac:dyDescent="0.35">
      <c r="A59" s="12" t="s">
        <v>303</v>
      </c>
      <c r="B59" s="15" t="s">
        <v>277</v>
      </c>
      <c r="C59" s="12" t="s">
        <v>204</v>
      </c>
      <c r="D59" s="12" t="s">
        <v>299</v>
      </c>
      <c r="E59" s="12" t="s">
        <v>304</v>
      </c>
      <c r="F59" s="12" t="s">
        <v>206</v>
      </c>
      <c r="G59" s="12" t="s">
        <v>305</v>
      </c>
      <c r="H59" s="9" t="s">
        <v>31</v>
      </c>
      <c r="I59" s="10" t="s">
        <v>32</v>
      </c>
      <c r="J59" s="11" t="s">
        <v>33</v>
      </c>
    </row>
    <row r="60" spans="1:10" ht="66" customHeight="1" x14ac:dyDescent="0.35">
      <c r="A60" s="7" t="s">
        <v>306</v>
      </c>
      <c r="B60" s="15" t="s">
        <v>277</v>
      </c>
      <c r="C60" s="7" t="s">
        <v>307</v>
      </c>
      <c r="D60" s="7" t="s">
        <v>308</v>
      </c>
      <c r="E60" s="7" t="s">
        <v>309</v>
      </c>
      <c r="F60" s="7" t="s">
        <v>310</v>
      </c>
      <c r="G60" s="7" t="s">
        <v>311</v>
      </c>
      <c r="H60" s="13" t="s">
        <v>33</v>
      </c>
      <c r="I60" s="10" t="s">
        <v>32</v>
      </c>
      <c r="J60" s="22" t="s">
        <v>382</v>
      </c>
    </row>
    <row r="61" spans="1:10" ht="66" customHeight="1" x14ac:dyDescent="0.35">
      <c r="A61" s="12" t="s">
        <v>312</v>
      </c>
      <c r="B61" s="15" t="s">
        <v>277</v>
      </c>
      <c r="C61" s="12" t="s">
        <v>209</v>
      </c>
      <c r="D61" s="12" t="s">
        <v>313</v>
      </c>
      <c r="E61" s="12" t="s">
        <v>211</v>
      </c>
      <c r="F61" s="12" t="s">
        <v>212</v>
      </c>
      <c r="G61" s="12" t="s">
        <v>213</v>
      </c>
      <c r="H61" s="9" t="s">
        <v>31</v>
      </c>
      <c r="I61" s="10" t="s">
        <v>44</v>
      </c>
      <c r="J61" s="22" t="s">
        <v>381</v>
      </c>
    </row>
    <row r="62" spans="1:10" ht="66" customHeight="1" x14ac:dyDescent="0.35">
      <c r="A62" s="7" t="s">
        <v>314</v>
      </c>
      <c r="B62" s="15" t="s">
        <v>277</v>
      </c>
      <c r="C62" s="7" t="s">
        <v>115</v>
      </c>
      <c r="D62" s="7" t="s">
        <v>313</v>
      </c>
      <c r="E62" s="7" t="s">
        <v>116</v>
      </c>
      <c r="F62" s="7" t="s">
        <v>117</v>
      </c>
      <c r="G62" s="7" t="s">
        <v>315</v>
      </c>
      <c r="H62" s="9" t="s">
        <v>31</v>
      </c>
      <c r="I62" s="10" t="s">
        <v>119</v>
      </c>
      <c r="J62" s="22" t="s">
        <v>31</v>
      </c>
    </row>
    <row r="63" spans="1:10" ht="66" customHeight="1" x14ac:dyDescent="0.35">
      <c r="A63" s="12" t="s">
        <v>316</v>
      </c>
      <c r="B63" s="15" t="s">
        <v>277</v>
      </c>
      <c r="C63" s="12" t="s">
        <v>121</v>
      </c>
      <c r="D63" s="12" t="s">
        <v>317</v>
      </c>
      <c r="E63" s="12" t="s">
        <v>218</v>
      </c>
      <c r="F63" s="12" t="s">
        <v>219</v>
      </c>
      <c r="G63" s="12" t="s">
        <v>261</v>
      </c>
      <c r="H63" s="13" t="s">
        <v>33</v>
      </c>
      <c r="I63" s="10" t="s">
        <v>44</v>
      </c>
      <c r="J63" s="22" t="s">
        <v>381</v>
      </c>
    </row>
    <row r="64" spans="1:10" ht="66" customHeight="1" x14ac:dyDescent="0.35">
      <c r="A64" s="7" t="s">
        <v>318</v>
      </c>
      <c r="B64" s="15" t="s">
        <v>277</v>
      </c>
      <c r="C64" s="7" t="s">
        <v>127</v>
      </c>
      <c r="D64" s="7" t="s">
        <v>319</v>
      </c>
      <c r="E64" s="7" t="s">
        <v>129</v>
      </c>
      <c r="F64" s="7" t="s">
        <v>130</v>
      </c>
      <c r="G64" s="7" t="s">
        <v>131</v>
      </c>
      <c r="H64" s="9" t="s">
        <v>31</v>
      </c>
      <c r="I64" s="10" t="s">
        <v>119</v>
      </c>
      <c r="J64" s="22" t="s">
        <v>381</v>
      </c>
    </row>
    <row r="65" spans="1:10" ht="66" customHeight="1" x14ac:dyDescent="0.35">
      <c r="A65" s="12" t="s">
        <v>320</v>
      </c>
      <c r="B65" s="15" t="s">
        <v>277</v>
      </c>
      <c r="C65" s="12" t="s">
        <v>133</v>
      </c>
      <c r="D65" s="12" t="s">
        <v>321</v>
      </c>
      <c r="E65" s="12" t="s">
        <v>135</v>
      </c>
      <c r="F65" s="12" t="s">
        <v>136</v>
      </c>
      <c r="G65" s="12" t="s">
        <v>137</v>
      </c>
      <c r="H65" s="9" t="s">
        <v>31</v>
      </c>
      <c r="I65" s="10" t="s">
        <v>119</v>
      </c>
      <c r="J65" s="22" t="s">
        <v>381</v>
      </c>
    </row>
    <row r="66" spans="1:10" ht="66" customHeight="1" x14ac:dyDescent="0.35">
      <c r="A66" s="7" t="s">
        <v>322</v>
      </c>
      <c r="B66" s="17" t="s">
        <v>323</v>
      </c>
      <c r="C66" s="7" t="s">
        <v>324</v>
      </c>
      <c r="D66" s="7" t="s">
        <v>325</v>
      </c>
      <c r="E66" s="7" t="s">
        <v>326</v>
      </c>
      <c r="F66" s="7" t="s">
        <v>327</v>
      </c>
      <c r="G66" s="7" t="s">
        <v>328</v>
      </c>
      <c r="H66" s="13" t="s">
        <v>33</v>
      </c>
      <c r="I66" s="10" t="s">
        <v>119</v>
      </c>
      <c r="J66" s="22" t="s">
        <v>381</v>
      </c>
    </row>
    <row r="67" spans="1:10" ht="66" customHeight="1" x14ac:dyDescent="0.35">
      <c r="A67" s="12" t="s">
        <v>329</v>
      </c>
      <c r="B67" s="17" t="s">
        <v>323</v>
      </c>
      <c r="C67" s="12" t="s">
        <v>330</v>
      </c>
      <c r="D67" s="12" t="s">
        <v>331</v>
      </c>
      <c r="E67" s="12" t="s">
        <v>332</v>
      </c>
      <c r="F67" s="12" t="s">
        <v>333</v>
      </c>
      <c r="G67" s="12" t="s">
        <v>334</v>
      </c>
      <c r="H67" s="13" t="s">
        <v>33</v>
      </c>
      <c r="I67" s="10" t="s">
        <v>119</v>
      </c>
      <c r="J67" s="22" t="s">
        <v>381</v>
      </c>
    </row>
    <row r="68" spans="1:10" ht="66" customHeight="1" x14ac:dyDescent="0.35">
      <c r="A68" s="7" t="s">
        <v>335</v>
      </c>
      <c r="B68" s="17" t="s">
        <v>323</v>
      </c>
      <c r="C68" s="7" t="s">
        <v>336</v>
      </c>
      <c r="D68" s="7" t="s">
        <v>331</v>
      </c>
      <c r="E68" s="7" t="s">
        <v>337</v>
      </c>
      <c r="F68" s="7" t="s">
        <v>338</v>
      </c>
      <c r="G68" s="7" t="s">
        <v>339</v>
      </c>
      <c r="H68" s="13" t="s">
        <v>33</v>
      </c>
      <c r="I68" s="10" t="s">
        <v>119</v>
      </c>
      <c r="J68" s="22" t="s">
        <v>381</v>
      </c>
    </row>
    <row r="69" spans="1:10" ht="66" customHeight="1" x14ac:dyDescent="0.35">
      <c r="A69" s="12" t="s">
        <v>340</v>
      </c>
      <c r="B69" s="17" t="s">
        <v>323</v>
      </c>
      <c r="C69" s="12" t="s">
        <v>341</v>
      </c>
      <c r="D69" s="12" t="s">
        <v>342</v>
      </c>
      <c r="E69" s="12" t="s">
        <v>343</v>
      </c>
      <c r="F69" s="12" t="s">
        <v>344</v>
      </c>
      <c r="G69" s="12" t="s">
        <v>345</v>
      </c>
      <c r="H69" s="13" t="s">
        <v>33</v>
      </c>
      <c r="I69" s="10" t="s">
        <v>119</v>
      </c>
      <c r="J69" s="22" t="s">
        <v>381</v>
      </c>
    </row>
    <row r="70" spans="1:10" ht="66" customHeight="1" x14ac:dyDescent="0.35">
      <c r="A70" s="7" t="s">
        <v>346</v>
      </c>
      <c r="B70" s="17" t="s">
        <v>323</v>
      </c>
      <c r="C70" s="7" t="s">
        <v>209</v>
      </c>
      <c r="D70" s="7" t="s">
        <v>347</v>
      </c>
      <c r="E70" s="7" t="s">
        <v>211</v>
      </c>
      <c r="F70" s="7" t="s">
        <v>212</v>
      </c>
      <c r="G70" s="7" t="s">
        <v>213</v>
      </c>
      <c r="H70" s="9" t="s">
        <v>31</v>
      </c>
      <c r="I70" s="10" t="s">
        <v>44</v>
      </c>
      <c r="J70" s="22" t="s">
        <v>381</v>
      </c>
    </row>
    <row r="71" spans="1:10" ht="66" customHeight="1" x14ac:dyDescent="0.35">
      <c r="A71" s="12" t="s">
        <v>348</v>
      </c>
      <c r="B71" s="17" t="s">
        <v>323</v>
      </c>
      <c r="C71" s="12" t="s">
        <v>349</v>
      </c>
      <c r="D71" s="12" t="s">
        <v>347</v>
      </c>
      <c r="E71" s="12" t="s">
        <v>116</v>
      </c>
      <c r="F71" s="12" t="s">
        <v>350</v>
      </c>
      <c r="G71" s="12" t="s">
        <v>118</v>
      </c>
      <c r="H71" s="9" t="s">
        <v>31</v>
      </c>
      <c r="I71" s="10" t="s">
        <v>119</v>
      </c>
      <c r="J71" s="22" t="s">
        <v>381</v>
      </c>
    </row>
    <row r="72" spans="1:10" ht="66" customHeight="1" x14ac:dyDescent="0.35">
      <c r="A72" s="7" t="s">
        <v>351</v>
      </c>
      <c r="B72" s="17" t="s">
        <v>323</v>
      </c>
      <c r="C72" s="7" t="s">
        <v>121</v>
      </c>
      <c r="D72" s="7" t="s">
        <v>352</v>
      </c>
      <c r="E72" s="7" t="s">
        <v>218</v>
      </c>
      <c r="F72" s="7" t="s">
        <v>219</v>
      </c>
      <c r="G72" s="7" t="s">
        <v>261</v>
      </c>
      <c r="H72" s="13" t="s">
        <v>33</v>
      </c>
      <c r="I72" s="10" t="s">
        <v>44</v>
      </c>
      <c r="J72" s="22" t="s">
        <v>381</v>
      </c>
    </row>
    <row r="73" spans="1:10" ht="66" customHeight="1" x14ac:dyDescent="0.35">
      <c r="A73" s="12" t="s">
        <v>353</v>
      </c>
      <c r="B73" s="17" t="s">
        <v>323</v>
      </c>
      <c r="C73" s="12" t="s">
        <v>127</v>
      </c>
      <c r="D73" s="12" t="s">
        <v>354</v>
      </c>
      <c r="E73" s="12" t="s">
        <v>129</v>
      </c>
      <c r="F73" s="12" t="s">
        <v>130</v>
      </c>
      <c r="G73" s="12" t="s">
        <v>131</v>
      </c>
      <c r="H73" s="9" t="s">
        <v>31</v>
      </c>
      <c r="I73" s="10" t="s">
        <v>119</v>
      </c>
      <c r="J73" s="22" t="s">
        <v>381</v>
      </c>
    </row>
    <row r="74" spans="1:10" ht="66" customHeight="1" x14ac:dyDescent="0.35">
      <c r="A74" s="7" t="s">
        <v>355</v>
      </c>
      <c r="B74" s="17" t="s">
        <v>323</v>
      </c>
      <c r="C74" s="7" t="s">
        <v>133</v>
      </c>
      <c r="D74" s="7" t="s">
        <v>356</v>
      </c>
      <c r="E74" s="7" t="s">
        <v>135</v>
      </c>
      <c r="F74" s="7" t="s">
        <v>136</v>
      </c>
      <c r="G74" s="7" t="s">
        <v>137</v>
      </c>
      <c r="H74" s="9" t="s">
        <v>31</v>
      </c>
      <c r="I74" s="10" t="s">
        <v>119</v>
      </c>
      <c r="J74" s="22" t="s">
        <v>31</v>
      </c>
    </row>
    <row r="75" spans="1:10" ht="66" customHeight="1" x14ac:dyDescent="0.35">
      <c r="A75" s="7" t="s">
        <v>357</v>
      </c>
      <c r="B75" s="17" t="s">
        <v>323</v>
      </c>
      <c r="C75" s="7" t="s">
        <v>358</v>
      </c>
      <c r="D75" s="7" t="s">
        <v>331</v>
      </c>
      <c r="E75" s="7" t="s">
        <v>359</v>
      </c>
      <c r="F75" s="7" t="s">
        <v>360</v>
      </c>
      <c r="G75" s="7" t="s">
        <v>361</v>
      </c>
      <c r="H75" s="13" t="s">
        <v>33</v>
      </c>
      <c r="I75" s="10" t="s">
        <v>44</v>
      </c>
      <c r="J75" s="11" t="s">
        <v>33</v>
      </c>
    </row>
    <row r="76" spans="1:10" ht="43.5" customHeight="1" x14ac:dyDescent="0.35">
      <c r="A76" s="7" t="s">
        <v>362</v>
      </c>
      <c r="B76" s="17" t="s">
        <v>323</v>
      </c>
      <c r="C76" s="7" t="s">
        <v>363</v>
      </c>
      <c r="D76" s="7" t="s">
        <v>331</v>
      </c>
      <c r="E76" s="7" t="s">
        <v>364</v>
      </c>
      <c r="F76" s="7" t="s">
        <v>365</v>
      </c>
      <c r="G76" s="7" t="s">
        <v>366</v>
      </c>
      <c r="H76" s="13" t="s">
        <v>33</v>
      </c>
      <c r="I76" s="10" t="s">
        <v>32</v>
      </c>
      <c r="J76" s="11" t="s">
        <v>33</v>
      </c>
    </row>
    <row r="77" spans="1:10" ht="36.75" customHeight="1" x14ac:dyDescent="0.35">
      <c r="A77" s="7" t="s">
        <v>367</v>
      </c>
      <c r="B77" s="17" t="s">
        <v>323</v>
      </c>
      <c r="C77" s="24" t="s">
        <v>383</v>
      </c>
      <c r="D77" s="24" t="s">
        <v>331</v>
      </c>
      <c r="E77" s="24" t="s">
        <v>384</v>
      </c>
      <c r="F77" s="24" t="s">
        <v>385</v>
      </c>
      <c r="G77" s="24" t="s">
        <v>386</v>
      </c>
      <c r="H77" s="13" t="s">
        <v>33</v>
      </c>
      <c r="I77" s="10" t="s">
        <v>44</v>
      </c>
      <c r="J77" s="11" t="s">
        <v>33</v>
      </c>
    </row>
    <row r="78" spans="1:10" ht="44" x14ac:dyDescent="0.35">
      <c r="A78" s="7" t="s">
        <v>368</v>
      </c>
      <c r="B78" s="17" t="s">
        <v>323</v>
      </c>
      <c r="C78" s="7" t="s">
        <v>369</v>
      </c>
      <c r="D78" s="7" t="s">
        <v>331</v>
      </c>
      <c r="E78" s="7" t="s">
        <v>370</v>
      </c>
      <c r="F78" s="7" t="s">
        <v>371</v>
      </c>
      <c r="G78" s="7" t="s">
        <v>372</v>
      </c>
      <c r="H78" s="9" t="s">
        <v>31</v>
      </c>
      <c r="I78" s="10" t="s">
        <v>32</v>
      </c>
      <c r="J78" s="11" t="s">
        <v>33</v>
      </c>
    </row>
  </sheetData>
  <autoFilter ref="A2:J78" xr:uid="{00000000-0009-0000-0000-000001000000}"/>
  <mergeCells count="1">
    <mergeCell ref="A1:J1"/>
  </mergeCells>
  <dataValidations count="2">
    <dataValidation type="list" sqref="H3:H78" xr:uid="{00000000-0002-0000-0100-000000000000}">
      <formula1>"Y,N"</formula1>
      <formula2>0</formula2>
    </dataValidation>
    <dataValidation type="list" sqref="I3:I78" xr:uid="{00000000-0002-0000-0100-000001000000}">
      <formula1>"High,Medium,Low"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4"/>
  <sheetViews>
    <sheetView showGridLines="0" zoomScaleNormal="100" workbookViewId="0">
      <selection activeCell="F24" sqref="F24"/>
    </sheetView>
  </sheetViews>
  <sheetFormatPr defaultColWidth="8.6328125" defaultRowHeight="14.5" x14ac:dyDescent="0.35"/>
  <cols>
    <col min="1" max="1" width="3" customWidth="1"/>
    <col min="2" max="2" width="34" customWidth="1"/>
    <col min="3" max="3" width="16" customWidth="1"/>
  </cols>
  <sheetData>
    <row r="2" spans="2:3" ht="16.5" customHeight="1" x14ac:dyDescent="0.35">
      <c r="B2" s="18" t="s">
        <v>373</v>
      </c>
    </row>
    <row r="4" spans="2:3" ht="14.25" customHeight="1" x14ac:dyDescent="0.35">
      <c r="B4" s="19" t="s">
        <v>374</v>
      </c>
      <c r="C4" s="20">
        <f>COUNTA('Test Cases'!$A$3:$A$78)</f>
        <v>76</v>
      </c>
    </row>
    <row r="5" spans="2:3" ht="14.25" customHeight="1" x14ac:dyDescent="0.35">
      <c r="B5" s="19" t="s">
        <v>375</v>
      </c>
      <c r="C5" s="20">
        <f>COUNTIF('Test Cases'!$H$3:$H$78,"Y")</f>
        <v>29</v>
      </c>
    </row>
    <row r="6" spans="2:3" ht="14.25" customHeight="1" x14ac:dyDescent="0.35">
      <c r="B6" s="19" t="s">
        <v>376</v>
      </c>
      <c r="C6" s="20">
        <f>COUNTIF('Test Cases'!$H$3:$H$78,"N")</f>
        <v>47</v>
      </c>
    </row>
    <row r="8" spans="2:3" ht="14.25" customHeight="1" x14ac:dyDescent="0.35">
      <c r="B8" s="21" t="s">
        <v>377</v>
      </c>
    </row>
    <row r="9" spans="2:3" ht="14.25" customHeight="1" x14ac:dyDescent="0.35">
      <c r="B9" s="20" t="s">
        <v>378</v>
      </c>
      <c r="C9" s="20" t="s">
        <v>379</v>
      </c>
    </row>
    <row r="10" spans="2:3" ht="14.25" customHeight="1" x14ac:dyDescent="0.35">
      <c r="B10" s="19" t="s">
        <v>25</v>
      </c>
      <c r="C10" s="19">
        <f>COUNTIFS('Test Cases'!$B$3:$B$78,"standard_user",'Test Cases'!$H$3:$H$78,"Y")</f>
        <v>2</v>
      </c>
    </row>
    <row r="11" spans="2:3" ht="14.25" customHeight="1" x14ac:dyDescent="0.35">
      <c r="B11" s="19" t="s">
        <v>150</v>
      </c>
      <c r="C11" s="19">
        <f>COUNTIFS('Test Cases'!$B$3:$B$78,"locked_out_user",'Test Cases'!$H$3:$H$78,"Y")</f>
        <v>0</v>
      </c>
    </row>
    <row r="12" spans="2:3" ht="14.25" customHeight="1" x14ac:dyDescent="0.35">
      <c r="B12" s="19" t="s">
        <v>156</v>
      </c>
      <c r="C12" s="19">
        <f>COUNTIFS('Test Cases'!$B$3:$B$78,"problem_user",'Test Cases'!$H$3:$H$78,"Y")</f>
        <v>9</v>
      </c>
    </row>
    <row r="13" spans="2:3" ht="14.25" customHeight="1" x14ac:dyDescent="0.35">
      <c r="B13" s="19" t="s">
        <v>226</v>
      </c>
      <c r="C13" s="19">
        <f>COUNTIFS('Test Cases'!$B$3:$B$78,"performance_glitch_user",'Test Cases'!$H$3:$H$78,"Y")</f>
        <v>4</v>
      </c>
    </row>
    <row r="14" spans="2:3" ht="14.25" customHeight="1" x14ac:dyDescent="0.35">
      <c r="B14" s="19" t="s">
        <v>277</v>
      </c>
      <c r="C14" s="19">
        <f>COUNTIFS('Test Cases'!$B$3:$B$78,"error_user",'Test Cases'!$H$3:$H$78,"Y")</f>
        <v>6</v>
      </c>
    </row>
    <row r="15" spans="2:3" ht="14.25" customHeight="1" x14ac:dyDescent="0.35">
      <c r="B15" s="19" t="s">
        <v>323</v>
      </c>
      <c r="C15" s="19">
        <f>COUNTIFS('Test Cases'!$B$3:$B$78,"visual_user",'Test Cases'!$H$3:$H$78,"Y")</f>
        <v>8</v>
      </c>
    </row>
    <row r="18" spans="2:5" ht="14.25" customHeight="1" x14ac:dyDescent="0.35">
      <c r="B18" s="21" t="s">
        <v>380</v>
      </c>
    </row>
    <row r="19" spans="2:5" ht="14.25" customHeight="1" x14ac:dyDescent="0.35">
      <c r="B19" s="19" t="s">
        <v>32</v>
      </c>
      <c r="C19" s="19">
        <f>COUNTIFS('Test Cases'!$I$3:$I$78,"High",'Test Cases'!$H$3:$H$78,"Y")</f>
        <v>9</v>
      </c>
    </row>
    <row r="20" spans="2:5" ht="14.25" customHeight="1" x14ac:dyDescent="0.35">
      <c r="B20" s="19" t="s">
        <v>44</v>
      </c>
      <c r="C20" s="19">
        <f>COUNTIFS('Test Cases'!$I$3:$I$78,"Medium",'Test Cases'!$H$3:$H$78,"Y")</f>
        <v>13</v>
      </c>
    </row>
    <row r="21" spans="2:5" ht="14.25" customHeight="1" x14ac:dyDescent="0.35">
      <c r="B21" s="19" t="s">
        <v>119</v>
      </c>
      <c r="C21" s="19">
        <f>COUNTIFS('Test Cases'!$I$3:$I$78,"Low",'Test Cases'!$H$3:$H$78,"Y")</f>
        <v>7</v>
      </c>
    </row>
    <row r="24" spans="2:5" ht="60" customHeight="1" x14ac:dyDescent="0.35">
      <c r="B24" s="26" t="s">
        <v>387</v>
      </c>
      <c r="C24" s="26"/>
      <c r="D24" s="26"/>
      <c r="E24" s="26"/>
    </row>
  </sheetData>
  <mergeCells count="1"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Test Cases</vt:lpstr>
      <vt:lpstr>Bug Summary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Anil Biju</cp:lastModifiedBy>
  <cp:revision>0</cp:revision>
  <dcterms:created xsi:type="dcterms:W3CDTF">2026-07-29T00:24:17Z</dcterms:created>
  <dcterms:modified xsi:type="dcterms:W3CDTF">2026-08-01T18:29:49Z</dcterms:modified>
  <dc:language>en-US</dc:language>
</cp:coreProperties>
</file>